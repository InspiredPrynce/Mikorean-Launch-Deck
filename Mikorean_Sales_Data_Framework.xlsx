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work Overview" sheetId="1" state="visible" r:id="rId1"/>
    <sheet xmlns:r="http://schemas.openxmlformats.org/officeDocument/2006/relationships" name="Metric Definitions" sheetId="2" state="visible" r:id="rId2"/>
    <sheet xmlns:r="http://schemas.openxmlformats.org/officeDocument/2006/relationships" name="Data Sources" sheetId="3" state="visible" r:id="rId3"/>
    <sheet xmlns:r="http://schemas.openxmlformats.org/officeDocument/2006/relationships" name="Revenue Tracker" sheetId="4" state="visible" r:id="rId4"/>
    <sheet xmlns:r="http://schemas.openxmlformats.org/officeDocument/2006/relationships" name="Channel Performance" sheetId="5" state="visible" r:id="rId5"/>
    <sheet xmlns:r="http://schemas.openxmlformats.org/officeDocument/2006/relationships" name="Product Performance" sheetId="6" state="visible" r:id="rId6"/>
    <sheet xmlns:r="http://schemas.openxmlformats.org/officeDocument/2006/relationships" name="Geographic Analysis" sheetId="7" state="visible" r:id="rId7"/>
    <sheet xmlns:r="http://schemas.openxmlformats.org/officeDocument/2006/relationships" name="Campaign Attribution" sheetId="8" state="visible" r:id="rId8"/>
    <sheet xmlns:r="http://schemas.openxmlformats.org/officeDocument/2006/relationships" name="Forecasting Model" sheetId="9" state="visible" r:id="rId9"/>
    <sheet xmlns:r="http://schemas.openxmlformats.org/officeDocument/2006/relationships" name="Daily Sales Log" sheetId="10" state="visible" r:id="rId10"/>
    <sheet xmlns:r="http://schemas.openxmlformats.org/officeDocument/2006/relationships" name="Weekly Report" sheetId="11" state="visible" r:id="rId11"/>
    <sheet xmlns:r="http://schemas.openxmlformats.org/officeDocument/2006/relationships" name="Monthly Report" sheetId="12" state="visible" r:id="rId12"/>
    <sheet xmlns:r="http://schemas.openxmlformats.org/officeDocument/2006/relationships" name="Inventory Tracker" sheetId="13" state="visible" r:id="rId13"/>
    <sheet xmlns:r="http://schemas.openxmlformats.org/officeDocument/2006/relationships" name="Budget Track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0F3460"/>
      <sz val="12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A1A2E"/>
        <bgColor rgb="001A1A2E"/>
      </patternFill>
    </fill>
    <fill>
      <patternFill patternType="solid">
        <fgColor rgb="00F2F2F2"/>
        <bgColor rgb="00F2F2F2"/>
      </patternFill>
    </fill>
    <fill>
      <patternFill patternType="solid">
        <fgColor rgb="000F3460"/>
        <bgColor rgb="000F3460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pivotButton="0" quotePrefix="0" xfId="0"/>
    <xf numFmtId="164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left" vertical="center" wrapText="1"/>
    </xf>
    <xf numFmtId="0" fontId="3" fillId="7" borderId="1" pivotButton="0" quotePrefix="0" xfId="0"/>
    <xf numFmtId="164" fontId="3" fillId="7" borderId="1" pivotButton="0" quotePrefix="0" xfId="0"/>
    <xf numFmtId="3" fontId="4" fillId="4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left" vertical="center" wrapText="1"/>
    </xf>
    <xf numFmtId="3" fontId="3" fillId="7" borderId="1" pivotButton="0" quotePrefix="0" xfId="0"/>
    <xf numFmtId="165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0" fillId="0" borderId="1" pivotButton="0" quotePrefix="0" xfId="0"/>
    <xf numFmtId="0" fontId="3" fillId="7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0" fillId="6" borderId="1" pivotButton="0" quotePrefix="0" xfId="0"/>
    <xf numFmtId="3" fontId="3" fillId="7" borderId="0" pivotButton="0" quotePrefix="0" xfId="0"/>
    <xf numFmtId="0" fontId="4" fillId="8" borderId="1" pivotButton="0" quotePrefix="0" xfId="0"/>
    <xf numFmtId="166" fontId="4" fillId="4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20" customWidth="1" min="4" max="4"/>
  </cols>
  <sheetData>
    <row r="1">
      <c r="A1" s="1" t="inlineStr">
        <is>
          <t>MIKOREAN - Sales Data Extraction Framework</t>
        </is>
      </c>
    </row>
    <row r="2">
      <c r="A2" s="2" t="inlineStr">
        <is>
          <t>Chinese-Inspired Tech Accessories | Nigeria Market Launch</t>
        </is>
      </c>
    </row>
    <row r="4">
      <c r="A4" s="2" t="inlineStr">
        <is>
          <t>BRAND CONTEXT</t>
        </is>
      </c>
    </row>
    <row r="5">
      <c r="A5" s="3" t="inlineStr">
        <is>
          <t>Brand</t>
        </is>
      </c>
      <c r="B5" s="4" t="inlineStr">
        <is>
          <t>Mikorean - Chinese-Inspired Tech Accessories</t>
        </is>
      </c>
    </row>
    <row r="6">
      <c r="A6" s="3" t="inlineStr">
        <is>
          <t>Competitor Benchmark</t>
        </is>
      </c>
      <c r="B6" s="4" t="inlineStr">
        <is>
          <t>Oraimo (primary competitor)</t>
        </is>
      </c>
    </row>
    <row r="7">
      <c r="A7" s="3" t="inlineStr">
        <is>
          <t>Sales Channels</t>
        </is>
      </c>
      <c r="B7" s="4" t="inlineStr">
        <is>
          <t>Website | Jumia | Konga</t>
        </is>
      </c>
    </row>
    <row r="8">
      <c r="A8" s="3" t="inlineStr">
        <is>
          <t>Target Markets</t>
        </is>
      </c>
      <c r="B8" s="4" t="inlineStr">
        <is>
          <t>Lagos | Abuja | Port Harcourt</t>
        </is>
      </c>
    </row>
    <row r="9">
      <c r="A9" s="3" t="inlineStr">
        <is>
          <t>First Month Budget</t>
        </is>
      </c>
      <c r="B9" s="4" t="inlineStr">
        <is>
          <t>N17,500,000</t>
        </is>
      </c>
    </row>
    <row r="10">
      <c r="A10" s="3" t="inlineStr">
        <is>
          <t>Ongoing Monthly Budget</t>
        </is>
      </c>
      <c r="B10" s="4" t="inlineStr">
        <is>
          <t>N6,400,000</t>
        </is>
      </c>
    </row>
    <row r="11">
      <c r="A11" s="3" t="inlineStr">
        <is>
          <t>Product Range</t>
        </is>
      </c>
      <c r="B11" s="4" t="inlineStr">
        <is>
          <t>12 Products across 7 categories</t>
        </is>
      </c>
    </row>
    <row r="13">
      <c r="A13" s="2" t="inlineStr">
        <is>
          <t>PRODUCT CATALOG (12 SKUs)</t>
        </is>
      </c>
    </row>
    <row r="14">
      <c r="A14" s="5" t="inlineStr">
        <is>
          <t>Product</t>
        </is>
      </c>
      <c r="B14" s="5" t="inlineStr">
        <is>
          <t>Category</t>
        </is>
      </c>
      <c r="C14" s="5" t="inlineStr">
        <is>
          <t>Price Range (NGN)</t>
        </is>
      </c>
      <c r="D14" s="5" t="inlineStr">
        <is>
          <t>Demand Forecast</t>
        </is>
      </c>
    </row>
    <row r="15">
      <c r="A15" s="6" t="inlineStr">
        <is>
          <t>Cables</t>
        </is>
      </c>
      <c r="B15" s="6" t="inlineStr">
        <is>
          <t>Charging &amp; Data</t>
        </is>
      </c>
      <c r="C15" s="6" t="inlineStr">
        <is>
          <t>5,000 - 15,000</t>
        </is>
      </c>
      <c r="D15" s="6" t="inlineStr">
        <is>
          <t>High</t>
        </is>
      </c>
    </row>
    <row r="16">
      <c r="A16" s="7" t="inlineStr">
        <is>
          <t>Power Banks</t>
        </is>
      </c>
      <c r="B16" s="7" t="inlineStr">
        <is>
          <t>Portable Power</t>
        </is>
      </c>
      <c r="C16" s="7" t="inlineStr">
        <is>
          <t>8,000 - 25,000</t>
        </is>
      </c>
      <c r="D16" s="7" t="inlineStr">
        <is>
          <t>High</t>
        </is>
      </c>
    </row>
    <row r="17">
      <c r="A17" s="6" t="inlineStr">
        <is>
          <t>Smart Glasses</t>
        </is>
      </c>
      <c r="B17" s="6" t="inlineStr">
        <is>
          <t>Wearable Tech</t>
        </is>
      </c>
      <c r="C17" s="6" t="inlineStr">
        <is>
          <t>25,000 - 65,000</t>
        </is>
      </c>
      <c r="D17" s="6" t="inlineStr">
        <is>
          <t>Medium</t>
        </is>
      </c>
    </row>
    <row r="18">
      <c r="A18" s="7" t="inlineStr">
        <is>
          <t>Smart Watches</t>
        </is>
      </c>
      <c r="B18" s="7" t="inlineStr">
        <is>
          <t>Wearable Tech</t>
        </is>
      </c>
      <c r="C18" s="7" t="inlineStr">
        <is>
          <t>15,000 - 45,000</t>
        </is>
      </c>
      <c r="D18" s="7" t="inlineStr">
        <is>
          <t>High</t>
        </is>
      </c>
    </row>
    <row r="19">
      <c r="A19" s="6" t="inlineStr">
        <is>
          <t>Chargers</t>
        </is>
      </c>
      <c r="B19" s="6" t="inlineStr">
        <is>
          <t>Power Accessories</t>
        </is>
      </c>
      <c r="C19" s="6" t="inlineStr">
        <is>
          <t>3,000 - 12,000</t>
        </is>
      </c>
      <c r="D19" s="6" t="inlineStr">
        <is>
          <t>High</t>
        </is>
      </c>
    </row>
    <row r="20">
      <c r="A20" s="7" t="inlineStr">
        <is>
          <t>Car Chargers</t>
        </is>
      </c>
      <c r="B20" s="7" t="inlineStr">
        <is>
          <t>Auto Accessories</t>
        </is>
      </c>
      <c r="C20" s="7" t="inlineStr">
        <is>
          <t>4,000 - 10,000</t>
        </is>
      </c>
      <c r="D20" s="7" t="inlineStr">
        <is>
          <t>Medium</t>
        </is>
      </c>
    </row>
    <row r="21">
      <c r="A21" s="6" t="inlineStr">
        <is>
          <t>Headsets</t>
        </is>
      </c>
      <c r="B21" s="6" t="inlineStr">
        <is>
          <t>Audio</t>
        </is>
      </c>
      <c r="C21" s="6" t="inlineStr">
        <is>
          <t>8,000 - 20,000</t>
        </is>
      </c>
      <c r="D21" s="6" t="inlineStr">
        <is>
          <t>High</t>
        </is>
      </c>
    </row>
    <row r="22">
      <c r="A22" s="7" t="inlineStr">
        <is>
          <t>Ear Buds</t>
        </is>
      </c>
      <c r="B22" s="7" t="inlineStr">
        <is>
          <t>Audio</t>
        </is>
      </c>
      <c r="C22" s="7" t="inlineStr">
        <is>
          <t>5,000 - 18,000</t>
        </is>
      </c>
      <c r="D22" s="7" t="inlineStr">
        <is>
          <t>High</t>
        </is>
      </c>
    </row>
    <row r="23">
      <c r="A23" s="6" t="inlineStr">
        <is>
          <t>Phone Stands</t>
        </is>
      </c>
      <c r="B23" s="6" t="inlineStr">
        <is>
          <t>Accessories</t>
        </is>
      </c>
      <c r="C23" s="6" t="inlineStr">
        <is>
          <t>2,000 - 6,000</t>
        </is>
      </c>
      <c r="D23" s="6" t="inlineStr">
        <is>
          <t>Medium</t>
        </is>
      </c>
    </row>
    <row r="24">
      <c r="A24" s="7" t="inlineStr">
        <is>
          <t>Phone Holders</t>
        </is>
      </c>
      <c r="B24" s="7" t="inlineStr">
        <is>
          <t>Accessories</t>
        </is>
      </c>
      <c r="C24" s="7" t="inlineStr">
        <is>
          <t>2,500 - 7,000</t>
        </is>
      </c>
      <c r="D24" s="7" t="inlineStr">
        <is>
          <t>Medium</t>
        </is>
      </c>
    </row>
    <row r="25">
      <c r="A25" s="6" t="inlineStr">
        <is>
          <t>Tablet/Laptop Stands</t>
        </is>
      </c>
      <c r="B25" s="6" t="inlineStr">
        <is>
          <t>Accessories</t>
        </is>
      </c>
      <c r="C25" s="6" t="inlineStr">
        <is>
          <t>4,000 - 12,000</t>
        </is>
      </c>
      <c r="D25" s="6" t="inlineStr">
        <is>
          <t>Medium</t>
        </is>
      </c>
    </row>
    <row r="26">
      <c r="A26" s="7" t="inlineStr">
        <is>
          <t>Rechargeable Hand Fans</t>
        </is>
      </c>
      <c r="B26" s="7" t="inlineStr">
        <is>
          <t>Cooling</t>
        </is>
      </c>
      <c r="C26" s="7" t="inlineStr">
        <is>
          <t>3,500 - 8,000</t>
        </is>
      </c>
      <c r="D26" s="7" t="inlineStr">
        <is>
          <t>High</t>
        </is>
      </c>
    </row>
    <row r="29">
      <c r="A29" s="2" t="inlineStr">
        <is>
          <t>FRAMEWORK SHEETS INDEX</t>
        </is>
      </c>
    </row>
    <row r="30">
      <c r="A30" s="5" t="inlineStr">
        <is>
          <t>Sheet Name</t>
        </is>
      </c>
      <c r="B30" s="5" t="inlineStr">
        <is>
          <t>Purpose</t>
        </is>
      </c>
    </row>
    <row r="31">
      <c r="A31" s="6" t="inlineStr">
        <is>
          <t>Framework Overview</t>
        </is>
      </c>
      <c r="B31" s="6" t="inlineStr">
        <is>
          <t>Brand context, product catalog, methodology</t>
        </is>
      </c>
    </row>
    <row r="32">
      <c r="A32" s="7" t="inlineStr">
        <is>
          <t>Metric Definitions</t>
        </is>
      </c>
      <c r="B32" s="7" t="inlineStr">
        <is>
          <t>All KPIs with formulas and benchmarks</t>
        </is>
      </c>
    </row>
    <row r="33">
      <c r="A33" s="6" t="inlineStr">
        <is>
          <t>Data Sources</t>
        </is>
      </c>
      <c r="B33" s="6" t="inlineStr">
        <is>
          <t>Collection methods, APIs, integration points</t>
        </is>
      </c>
    </row>
    <row r="34">
      <c r="A34" s="7" t="inlineStr">
        <is>
          <t>Revenue Tracker</t>
        </is>
      </c>
      <c r="B34" s="7" t="inlineStr">
        <is>
          <t>Revenue by product/channel/city/campaign</t>
        </is>
      </c>
    </row>
    <row r="35">
      <c r="A35" s="6" t="inlineStr">
        <is>
          <t>Channel Performance</t>
        </is>
      </c>
      <c r="B35" s="6" t="inlineStr">
        <is>
          <t>Website vs Jumia vs Konga analysis</t>
        </is>
      </c>
    </row>
    <row r="36">
      <c r="A36" s="7" t="inlineStr">
        <is>
          <t>Product Performance</t>
        </is>
      </c>
      <c r="B36" s="7" t="inlineStr">
        <is>
          <t>Sales by product, inventory, stock alerts</t>
        </is>
      </c>
    </row>
    <row r="37">
      <c r="A37" s="6" t="inlineStr">
        <is>
          <t>Geographic Analysis</t>
        </is>
      </c>
      <c r="B37" s="6" t="inlineStr">
        <is>
          <t>Lagos vs Abuja vs Port Harcourt</t>
        </is>
      </c>
    </row>
    <row r="38">
      <c r="A38" s="7" t="inlineStr">
        <is>
          <t>Campaign Attribution</t>
        </is>
      </c>
      <c r="B38" s="7" t="inlineStr">
        <is>
          <t>Campaign tracking and ROI measurement</t>
        </is>
      </c>
    </row>
    <row r="39">
      <c r="A39" s="6" t="inlineStr">
        <is>
          <t>Forecasting Model</t>
        </is>
      </c>
      <c r="B39" s="6" t="inlineStr">
        <is>
          <t>Monthly projections and assumptions</t>
        </is>
      </c>
    </row>
    <row r="40">
      <c r="A40" s="7" t="inlineStr">
        <is>
          <t>Daily Sales Log</t>
        </is>
      </c>
      <c r="B40" s="7" t="inlineStr">
        <is>
          <t>Daily transaction-level tracking template</t>
        </is>
      </c>
    </row>
    <row r="41">
      <c r="A41" s="6" t="inlineStr">
        <is>
          <t>Weekly Report</t>
        </is>
      </c>
      <c r="B41" s="6" t="inlineStr">
        <is>
          <t>Weekly summary template</t>
        </is>
      </c>
    </row>
    <row r="42">
      <c r="A42" s="7" t="inlineStr">
        <is>
          <t>Monthly Report</t>
        </is>
      </c>
      <c r="B42" s="7" t="inlineStr">
        <is>
          <t>Monthly executive summary template</t>
        </is>
      </c>
    </row>
    <row r="43">
      <c r="A43" s="6" t="inlineStr">
        <is>
          <t>Inventory Tracker</t>
        </is>
      </c>
      <c r="B43" s="6" t="inlineStr">
        <is>
          <t>Stock levels and reorder alerts</t>
        </is>
      </c>
    </row>
    <row r="44">
      <c r="A44" s="7" t="inlineStr">
        <is>
          <t>Budget Tracker</t>
        </is>
      </c>
      <c r="B44" s="7" t="inlineStr">
        <is>
          <t>Budget allocation and spend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1E3A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  <col width="12" customWidth="1" min="4" max="4"/>
    <col width="12" customWidth="1" min="5" max="5"/>
    <col width="35" customWidth="1" min="6" max="6"/>
  </cols>
  <sheetData>
    <row r="1">
      <c r="A1" s="1" t="inlineStr">
        <is>
          <t>KEY PERFORMANCE INDICATOR (KPI) DEFINITIONS</t>
        </is>
      </c>
    </row>
    <row r="2">
      <c r="A2" s="2" t="inlineStr">
        <is>
          <t>Formulas, Benchmarks, and Data Sources for All Metrics</t>
        </is>
      </c>
    </row>
    <row r="4">
      <c r="A4" s="5" t="inlineStr">
        <is>
          <t>Metric</t>
        </is>
      </c>
      <c r="B4" s="5" t="inlineStr">
        <is>
          <t>Definition</t>
        </is>
      </c>
      <c r="C4" s="5" t="inlineStr">
        <is>
          <t>Formula</t>
        </is>
      </c>
      <c r="D4" s="5" t="inlineStr">
        <is>
          <t>Unit</t>
        </is>
      </c>
      <c r="E4" s="5" t="inlineStr">
        <is>
          <t>Frequency</t>
        </is>
      </c>
      <c r="F4" s="5" t="inlineStr">
        <is>
          <t>Data Source</t>
        </is>
      </c>
    </row>
    <row r="5">
      <c r="A5" s="8" t="inlineStr">
        <is>
          <t>Revenue Metrics</t>
        </is>
      </c>
      <c r="B5" s="8" t="n"/>
      <c r="C5" s="8" t="n"/>
      <c r="D5" s="8" t="n"/>
      <c r="E5" s="8" t="n"/>
      <c r="F5" s="8" t="n"/>
    </row>
    <row r="6">
      <c r="A6" s="7" t="inlineStr">
        <is>
          <t>Total Revenue</t>
        </is>
      </c>
      <c r="B6" s="7" t="inlineStr">
        <is>
          <t>Sum of all sales revenue (before returns)</t>
        </is>
      </c>
      <c r="C6" s="7">
        <f>SUM(Revenue)</f>
        <v/>
      </c>
      <c r="D6" s="7" t="inlineStr">
        <is>
          <t>NGN</t>
        </is>
      </c>
      <c r="E6" s="7" t="inlineStr">
        <is>
          <t>Daily</t>
        </is>
      </c>
      <c r="F6" s="7" t="inlineStr">
        <is>
          <t>Transaction data from all channels</t>
        </is>
      </c>
    </row>
    <row r="7">
      <c r="A7" s="6" t="inlineStr">
        <is>
          <t>Net Revenue</t>
        </is>
      </c>
      <c r="B7" s="6" t="inlineStr">
        <is>
          <t>Total Revenue minus returns and refunds</t>
        </is>
      </c>
      <c r="C7" s="6">
        <f>Total_Revenue - Returns</f>
        <v/>
      </c>
      <c r="D7" s="6" t="inlineStr">
        <is>
          <t>NGN</t>
        </is>
      </c>
      <c r="E7" s="6" t="inlineStr">
        <is>
          <t>Daily</t>
        </is>
      </c>
      <c r="F7" s="6" t="inlineStr">
        <is>
          <t>Transaction + refund data</t>
        </is>
      </c>
    </row>
    <row r="8">
      <c r="A8" s="7" t="inlineStr">
        <is>
          <t>Gross Revenue</t>
        </is>
      </c>
      <c r="B8" s="7" t="inlineStr">
        <is>
          <t>Revenue before discounts and promotions</t>
        </is>
      </c>
      <c r="C8" s="7">
        <f>SUM(List_Price * Quantity)</f>
        <v/>
      </c>
      <c r="D8" s="7" t="inlineStr">
        <is>
          <t>NGN</t>
        </is>
      </c>
      <c r="E8" s="7" t="inlineStr">
        <is>
          <t>Daily</t>
        </is>
      </c>
      <c r="F8" s="7" t="inlineStr">
        <is>
          <t>Price list × units sold</t>
        </is>
      </c>
    </row>
    <row r="9">
      <c r="A9" s="6" t="inlineStr">
        <is>
          <t>Revenue Growth (MoM)</t>
        </is>
      </c>
      <c r="B9" s="6" t="inlineStr">
        <is>
          <t>Month-over-month revenue change %</t>
        </is>
      </c>
      <c r="C9" s="6">
        <f>(Current_Month - Previous_Month) / Previous_Month</f>
        <v/>
      </c>
      <c r="D9" s="6" t="inlineStr">
        <is>
          <t>%</t>
        </is>
      </c>
      <c r="E9" s="6" t="inlineStr">
        <is>
          <t>Monthly</t>
        </is>
      </c>
      <c r="F9" s="6" t="inlineStr">
        <is>
          <t>Revenue tracker</t>
        </is>
      </c>
    </row>
    <row r="10">
      <c r="A10" s="7" t="inlineStr">
        <is>
          <t>Revenue Growth (YoY)</t>
        </is>
      </c>
      <c r="B10" s="7" t="inlineStr">
        <is>
          <t>Year-over-year revenue change %</t>
        </is>
      </c>
      <c r="C10" s="7">
        <f>(Current_Year - Previous_Year) / Previous_Year</f>
        <v/>
      </c>
      <c r="D10" s="7" t="inlineStr">
        <is>
          <t>%</t>
        </is>
      </c>
      <c r="E10" s="7" t="inlineStr">
        <is>
          <t>Annual</t>
        </is>
      </c>
      <c r="F10" s="7" t="inlineStr">
        <is>
          <t>Revenue tracker</t>
        </is>
      </c>
    </row>
    <row r="12">
      <c r="A12" s="8" t="inlineStr">
        <is>
          <t>Volume Metrics</t>
        </is>
      </c>
      <c r="B12" s="8" t="n"/>
      <c r="C12" s="8" t="n"/>
      <c r="D12" s="8" t="n"/>
      <c r="E12" s="8" t="n"/>
      <c r="F12" s="8" t="n"/>
    </row>
    <row r="13">
      <c r="A13" s="6" t="inlineStr">
        <is>
          <t>Units Sold</t>
        </is>
      </c>
      <c r="B13" s="6" t="inlineStr">
        <is>
          <t>Total number of products sold</t>
        </is>
      </c>
      <c r="C13" s="6">
        <f>SUM(Quantity)</f>
        <v/>
      </c>
      <c r="D13" s="6" t="inlineStr">
        <is>
          <t>Units</t>
        </is>
      </c>
      <c r="E13" s="6" t="inlineStr">
        <is>
          <t>Daily</t>
        </is>
      </c>
      <c r="F13" s="6" t="inlineStr">
        <is>
          <t>Order management system</t>
        </is>
      </c>
    </row>
    <row r="14">
      <c r="A14" s="7" t="inlineStr">
        <is>
          <t>Average Order Value (AOV)</t>
        </is>
      </c>
      <c r="B14" s="7" t="inlineStr">
        <is>
          <t>Average revenue per transaction</t>
        </is>
      </c>
      <c r="C14" s="7">
        <f>Total_Revenue / Total_Transactions</f>
        <v/>
      </c>
      <c r="D14" s="7" t="inlineStr">
        <is>
          <t>NGN</t>
        </is>
      </c>
      <c r="E14" s="7" t="inlineStr">
        <is>
          <t>Daily</t>
        </is>
      </c>
      <c r="F14" s="7" t="inlineStr">
        <is>
          <t>Revenue / transaction count</t>
        </is>
      </c>
    </row>
    <row r="15">
      <c r="A15" s="6" t="inlineStr">
        <is>
          <t>Items Per Order</t>
        </is>
      </c>
      <c r="B15" s="6" t="inlineStr">
        <is>
          <t>Average number of items per transaction</t>
        </is>
      </c>
      <c r="C15" s="6">
        <f>Total_Items_Sold / Total_Transactions</f>
        <v/>
      </c>
      <c r="D15" s="6" t="inlineStr">
        <is>
          <t>Units</t>
        </is>
      </c>
      <c r="E15" s="6" t="inlineStr">
        <is>
          <t>Daily</t>
        </is>
      </c>
      <c r="F15" s="6" t="inlineStr">
        <is>
          <t>Order line items / orders</t>
        </is>
      </c>
    </row>
    <row r="16">
      <c r="A16" s="7" t="inlineStr">
        <is>
          <t>Deals Closed</t>
        </is>
      </c>
      <c r="B16" s="7" t="inlineStr">
        <is>
          <t>Number of completed sales transactions</t>
        </is>
      </c>
      <c r="C16" s="7">
        <f>COUNT(Orders)</f>
        <v/>
      </c>
      <c r="D16" s="7" t="inlineStr">
        <is>
          <t>Count</t>
        </is>
      </c>
      <c r="E16" s="7" t="inlineStr">
        <is>
          <t>Daily</t>
        </is>
      </c>
      <c r="F16" s="7" t="inlineStr">
        <is>
          <t>Order management system</t>
        </is>
      </c>
    </row>
    <row r="18">
      <c r="A18" s="8" t="inlineStr">
        <is>
          <t>Conversion Metrics</t>
        </is>
      </c>
      <c r="B18" s="8" t="n"/>
      <c r="C18" s="8" t="n"/>
      <c r="D18" s="8" t="n"/>
      <c r="E18" s="8" t="n"/>
      <c r="F18" s="8" t="n"/>
    </row>
    <row r="19">
      <c r="A19" s="6" t="inlineStr">
        <is>
          <t>Conversion Rate</t>
        </is>
      </c>
      <c r="B19" s="6" t="inlineStr">
        <is>
          <t>Visitors who completed a purchase</t>
        </is>
      </c>
      <c r="C19" s="6">
        <f>Transactions / Unique_Visitors * 100</f>
        <v/>
      </c>
      <c r="D19" s="6" t="inlineStr">
        <is>
          <t>%</t>
        </is>
      </c>
      <c r="E19" s="6" t="inlineStr">
        <is>
          <t>Daily</t>
        </is>
      </c>
      <c r="F19" s="6" t="inlineStr">
        <is>
          <t>Website analytics + orders</t>
        </is>
      </c>
    </row>
    <row r="20">
      <c r="A20" s="7" t="inlineStr">
        <is>
          <t>Cart Abandonment Rate</t>
        </is>
      </c>
      <c r="B20" s="7" t="inlineStr">
        <is>
          <t>Carts created but not completed</t>
        </is>
      </c>
      <c r="C20" s="7">
        <f>(Carts_Created - Transactions) / Carts_Created * 100</f>
        <v/>
      </c>
      <c r="D20" s="7" t="inlineStr">
        <is>
          <t>%</t>
        </is>
      </c>
      <c r="E20" s="7" t="inlineStr">
        <is>
          <t>Daily</t>
        </is>
      </c>
      <c r="F20" s="7" t="inlineStr">
        <is>
          <t>E-commerce platform analytics</t>
        </is>
      </c>
    </row>
    <row r="21">
      <c r="A21" s="6" t="inlineStr">
        <is>
          <t>Add-to-Cart Rate</t>
        </is>
      </c>
      <c r="B21" s="6" t="inlineStr">
        <is>
          <t>Visitors who added items to cart</t>
        </is>
      </c>
      <c r="C21" s="6">
        <f>Add_to_Cart_Events / Unique_Visitors * 100</f>
        <v/>
      </c>
      <c r="D21" s="6" t="inlineStr">
        <is>
          <t>%</t>
        </is>
      </c>
      <c r="E21" s="6" t="inlineStr">
        <is>
          <t>Daily</t>
        </is>
      </c>
      <c r="F21" s="6" t="inlineStr">
        <is>
          <t>Website analytics</t>
        </is>
      </c>
    </row>
    <row r="22">
      <c r="A22" s="7" t="inlineStr">
        <is>
          <t>Bounce Rate</t>
        </is>
      </c>
      <c r="B22" s="7" t="inlineStr">
        <is>
          <t>Visitors who left without interaction</t>
        </is>
      </c>
      <c r="C22" s="7">
        <f>Single_Page_Sessions / Total_Sessions * 100</f>
        <v/>
      </c>
      <c r="D22" s="7" t="inlineStr">
        <is>
          <t>%</t>
        </is>
      </c>
      <c r="E22" s="7" t="inlineStr">
        <is>
          <t>Daily</t>
        </is>
      </c>
      <c r="F22" s="7" t="inlineStr">
        <is>
          <t>Google Analytics</t>
        </is>
      </c>
    </row>
    <row r="24">
      <c r="A24" s="8" t="inlineStr">
        <is>
          <t>Customer Metrics</t>
        </is>
      </c>
      <c r="B24" s="8" t="n"/>
      <c r="C24" s="8" t="n"/>
      <c r="D24" s="8" t="n"/>
      <c r="E24" s="8" t="n"/>
      <c r="F24" s="8" t="n"/>
    </row>
    <row r="25">
      <c r="A25" s="6" t="inlineStr">
        <is>
          <t>Customer Acquisition Cost (CAC)</t>
        </is>
      </c>
      <c r="B25" s="6" t="inlineStr">
        <is>
          <t>Cost to acquire one new customer</t>
        </is>
      </c>
      <c r="C25" s="6">
        <f>Total_Marketing_Spend / New_Customers</f>
        <v/>
      </c>
      <c r="D25" s="6" t="inlineStr">
        <is>
          <t>NGN</t>
        </is>
      </c>
      <c r="E25" s="6" t="inlineStr">
        <is>
          <t>Monthly</t>
        </is>
      </c>
      <c r="F25" s="6" t="inlineStr">
        <is>
          <t>Marketing spend / new customer count</t>
        </is>
      </c>
    </row>
    <row r="26">
      <c r="A26" s="7" t="inlineStr">
        <is>
          <t>Customer Lifetime Value (LTV)</t>
        </is>
      </c>
      <c r="B26" s="7" t="inlineStr">
        <is>
          <t>Predicted total revenue per customer</t>
        </is>
      </c>
      <c r="C26" s="7">
        <f>AOV * Purchase_Frequency * Customer_Lifespan</f>
        <v/>
      </c>
      <c r="D26" s="7" t="inlineStr">
        <is>
          <t>NGN</t>
        </is>
      </c>
      <c r="E26" s="7" t="inlineStr">
        <is>
          <t>Quarterly</t>
        </is>
      </c>
      <c r="F26" s="7" t="inlineStr">
        <is>
          <t>Historical purchase data</t>
        </is>
      </c>
    </row>
    <row r="27">
      <c r="A27" s="6" t="inlineStr">
        <is>
          <t>LTV:CAC Ratio</t>
        </is>
      </c>
      <c r="B27" s="6" t="inlineStr">
        <is>
          <t>Return on customer acquisition</t>
        </is>
      </c>
      <c r="C27" s="6">
        <f>LTV / CAC</f>
        <v/>
      </c>
      <c r="D27" s="6" t="inlineStr">
        <is>
          <t>Ratio</t>
        </is>
      </c>
      <c r="E27" s="6" t="inlineStr">
        <is>
          <t>Monthly</t>
        </is>
      </c>
      <c r="F27" s="6" t="inlineStr">
        <is>
          <t>Calculated from LTV and CAC</t>
        </is>
      </c>
    </row>
    <row r="28">
      <c r="A28" s="7" t="inlineStr">
        <is>
          <t>Repeat Purchase Rate</t>
        </is>
      </c>
      <c r="B28" s="7" t="inlineStr">
        <is>
          <t>% of customers who bought again</t>
        </is>
      </c>
      <c r="C28" s="7">
        <f>Returning_Customers / Total_Customers * 100</f>
        <v/>
      </c>
      <c r="D28" s="7" t="inlineStr">
        <is>
          <t>%</t>
        </is>
      </c>
      <c r="E28" s="7" t="inlineStr">
        <is>
          <t>Monthly</t>
        </is>
      </c>
      <c r="F28" s="7" t="inlineStr">
        <is>
          <t>Customer database</t>
        </is>
      </c>
    </row>
    <row r="29">
      <c r="A29" s="6" t="inlineStr">
        <is>
          <t>Churn Rate</t>
        </is>
      </c>
      <c r="B29" s="6" t="inlineStr">
        <is>
          <t>% of customers who stopped buying</t>
        </is>
      </c>
      <c r="C29" s="6">
        <f>(Customers_Start - Customers_End) / Customers_Start * 100</f>
        <v/>
      </c>
      <c r="D29" s="6" t="inlineStr">
        <is>
          <t>%</t>
        </is>
      </c>
      <c r="E29" s="6" t="inlineStr">
        <is>
          <t>Monthly</t>
        </is>
      </c>
      <c r="F29" s="6" t="inlineStr">
        <is>
          <t>Customer database</t>
        </is>
      </c>
    </row>
    <row r="30">
      <c r="A30" s="7" t="inlineStr">
        <is>
          <t>Net Promoter Score (NPS)</t>
        </is>
      </c>
      <c r="B30" s="7" t="inlineStr">
        <is>
          <t>Customer satisfaction and loyalty</t>
        </is>
      </c>
      <c r="C30" s="7">
        <f>Promoters_% - Detractors_%</f>
        <v/>
      </c>
      <c r="D30" s="7" t="inlineStr">
        <is>
          <t>Score</t>
        </is>
      </c>
      <c r="E30" s="7" t="inlineStr">
        <is>
          <t>Quarterly</t>
        </is>
      </c>
      <c r="F30" s="7" t="inlineStr">
        <is>
          <t>Customer surveys</t>
        </is>
      </c>
    </row>
    <row r="32">
      <c r="A32" s="8" t="inlineStr">
        <is>
          <t>Financial Metrics</t>
        </is>
      </c>
      <c r="B32" s="8" t="n"/>
      <c r="C32" s="8" t="n"/>
      <c r="D32" s="8" t="n"/>
      <c r="E32" s="8" t="n"/>
      <c r="F32" s="8" t="n"/>
    </row>
    <row r="33">
      <c r="A33" s="6" t="inlineStr">
        <is>
          <t>Gross Margin</t>
        </is>
      </c>
      <c r="B33" s="6" t="inlineStr">
        <is>
          <t>Revenue minus cost of goods sold</t>
        </is>
      </c>
      <c r="C33" s="6">
        <f>(Revenue - COGS) / Revenue * 100</f>
        <v/>
      </c>
      <c r="D33" s="6" t="inlineStr">
        <is>
          <t>%</t>
        </is>
      </c>
      <c r="E33" s="6" t="inlineStr">
        <is>
          <t>Monthly</t>
        </is>
      </c>
      <c r="F33" s="6" t="inlineStr">
        <is>
          <t>Financial accounting</t>
        </is>
      </c>
    </row>
    <row r="34">
      <c r="A34" s="7" t="inlineStr">
        <is>
          <t>Return Rate</t>
        </is>
      </c>
      <c r="B34" s="7" t="inlineStr">
        <is>
          <t>% of items returned</t>
        </is>
      </c>
      <c r="C34" s="7">
        <f>Returned_Items / Total_Items_Sold * 100</f>
        <v/>
      </c>
      <c r="D34" s="7" t="inlineStr">
        <is>
          <t>%</t>
        </is>
      </c>
      <c r="E34" s="7" t="inlineStr">
        <is>
          <t>Monthly</t>
        </is>
      </c>
      <c r="F34" s="7" t="inlineStr">
        <is>
          <t>Returns/refund data</t>
        </is>
      </c>
    </row>
    <row r="35">
      <c r="A35" s="6" t="inlineStr">
        <is>
          <t>Average Discount %</t>
        </is>
      </c>
      <c r="B35" s="6" t="inlineStr">
        <is>
          <t>Average discount given per order</t>
        </is>
      </c>
      <c r="C35" s="6">
        <f>Total_Discounts / Total_Orders * 100</f>
        <v/>
      </c>
      <c r="D35" s="6" t="inlineStr">
        <is>
          <t>%</t>
        </is>
      </c>
      <c r="E35" s="6" t="inlineStr">
        <is>
          <t>Monthly</t>
        </is>
      </c>
      <c r="F35" s="6" t="inlineStr">
        <is>
          <t>Promotion data</t>
        </is>
      </c>
    </row>
    <row r="36">
      <c r="A36" s="7" t="inlineStr">
        <is>
          <t>Marketing ROI</t>
        </is>
      </c>
      <c r="B36" s="7" t="inlineStr">
        <is>
          <t>Return on marketing investment</t>
        </is>
      </c>
      <c r="C36" s="7">
        <f>(Revenue_from_Marketing - Marketing_Spend) / Marketing_Spend * 100</f>
        <v/>
      </c>
      <c r="D36" s="7" t="inlineStr">
        <is>
          <t>%</t>
        </is>
      </c>
      <c r="E36" s="7" t="inlineStr">
        <is>
          <t>Monthly</t>
        </is>
      </c>
      <c r="F36" s="7" t="inlineStr">
        <is>
          <t>Attribution tracking</t>
        </is>
      </c>
    </row>
    <row r="38">
      <c r="A38" s="8" t="inlineStr">
        <is>
          <t>Operational Metrics</t>
        </is>
      </c>
      <c r="B38" s="8" t="n"/>
      <c r="C38" s="8" t="n"/>
      <c r="D38" s="8" t="n"/>
      <c r="E38" s="8" t="n"/>
      <c r="F38" s="8" t="n"/>
    </row>
    <row r="39">
      <c r="A39" s="6" t="inlineStr">
        <is>
          <t>Inventory Turnover Rate</t>
        </is>
      </c>
      <c r="B39" s="6" t="inlineStr">
        <is>
          <t>How fast inventory sells</t>
        </is>
      </c>
      <c r="C39" s="6">
        <f>COGS / Average_Inventory</f>
        <v/>
      </c>
      <c r="D39" s="6" t="inlineStr">
        <is>
          <t>Ratio</t>
        </is>
      </c>
      <c r="E39" s="6" t="inlineStr">
        <is>
          <t>Monthly</t>
        </is>
      </c>
      <c r="F39" s="6" t="inlineStr">
        <is>
          <t>Inventory and COGS data</t>
        </is>
      </c>
    </row>
    <row r="40">
      <c r="A40" s="7" t="inlineStr">
        <is>
          <t>Days Sales of Inventory</t>
        </is>
      </c>
      <c r="B40" s="7" t="inlineStr">
        <is>
          <t>Average days to sell inventory</t>
        </is>
      </c>
      <c r="C40" s="7">
        <f>365 / Inventory_Turnover_Rate</f>
        <v/>
      </c>
      <c r="D40" s="7" t="inlineStr">
        <is>
          <t>Days</t>
        </is>
      </c>
      <c r="E40" s="7" t="inlineStr">
        <is>
          <t>Monthly</t>
        </is>
      </c>
      <c r="F40" s="7" t="inlineStr">
        <is>
          <t>Calculated</t>
        </is>
      </c>
    </row>
    <row r="41">
      <c r="A41" s="6" t="inlineStr">
        <is>
          <t>Stockout Rate</t>
        </is>
      </c>
      <c r="B41" s="6" t="inlineStr">
        <is>
          <t>% of time items are out of stock</t>
        </is>
      </c>
      <c r="C41" s="6">
        <f>Stockout_Days / Total_Days * 100</f>
        <v/>
      </c>
      <c r="D41" s="6" t="inlineStr">
        <is>
          <t>%</t>
        </is>
      </c>
      <c r="E41" s="6" t="inlineStr">
        <is>
          <t>Monthly</t>
        </is>
      </c>
      <c r="F41" s="6" t="inlineStr">
        <is>
          <t>Inventory tracking</t>
        </is>
      </c>
    </row>
    <row r="42">
      <c r="A42" s="7" t="inlineStr">
        <is>
          <t>Order Fulfillment Time</t>
        </is>
      </c>
      <c r="B42" s="7" t="inlineStr">
        <is>
          <t>Time from order to delivery</t>
        </is>
      </c>
      <c r="C42" s="7">
        <f>Delivery_Date - Order_Date</f>
        <v/>
      </c>
      <c r="D42" s="7" t="inlineStr">
        <is>
          <t>Days</t>
        </is>
      </c>
      <c r="E42" s="7" t="inlineStr">
        <is>
          <t>Daily</t>
        </is>
      </c>
      <c r="F42" s="7" t="inlineStr">
        <is>
          <t>Logistics data</t>
        </is>
      </c>
    </row>
    <row r="43">
      <c r="A43" s="6" t="inlineStr">
        <is>
          <t>Perfect Order Rate</t>
        </is>
      </c>
      <c r="B43" s="6" t="inlineStr">
        <is>
          <t>% of orders delivered correctly</t>
        </is>
      </c>
      <c r="C43" s="6">
        <f>Perfect_Orders / Total_Orders * 100</f>
        <v/>
      </c>
      <c r="D43" s="6" t="inlineStr">
        <is>
          <t>%</t>
        </is>
      </c>
      <c r="E43" s="6" t="inlineStr">
        <is>
          <t>Monthly</t>
        </is>
      </c>
      <c r="F43" s="6" t="inlineStr">
        <is>
          <t>Quality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3460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5" customWidth="1" min="3" max="3"/>
    <col width="45" customWidth="1" min="4" max="4"/>
    <col width="20" customWidth="1" min="5" max="5"/>
  </cols>
  <sheetData>
    <row r="1">
      <c r="A1" s="1" t="inlineStr">
        <is>
          <t>DATA SOURCES &amp; COLLECTION METHODS</t>
        </is>
      </c>
    </row>
    <row r="2">
      <c r="A2" s="2" t="inlineStr">
        <is>
          <t>How Sales Data is Collected, Integrated, and Stored</t>
        </is>
      </c>
    </row>
    <row r="4">
      <c r="A4" s="2" t="inlineStr">
        <is>
          <t>DATA ARCHITECTURE</t>
        </is>
      </c>
    </row>
    <row r="5">
      <c r="A5" s="5" t="inlineStr">
        <is>
          <t>Layer</t>
        </is>
      </c>
      <c r="B5" s="5" t="inlineStr">
        <is>
          <t>Technology</t>
        </is>
      </c>
      <c r="C5" s="5" t="inlineStr">
        <is>
          <t>Purpose</t>
        </is>
      </c>
      <c r="D5" s="5" t="inlineStr">
        <is>
          <t>Refresh Rate</t>
        </is>
      </c>
    </row>
    <row r="6">
      <c r="A6" s="6" t="inlineStr">
        <is>
          <t>Collection</t>
        </is>
      </c>
      <c r="B6" s="6" t="inlineStr">
        <is>
          <t>APIs, Webhooks, File Uploads</t>
        </is>
      </c>
      <c r="C6" s="6" t="inlineStr">
        <is>
          <t>Raw data ingestion</t>
        </is>
      </c>
      <c r="D6" s="6" t="inlineStr">
        <is>
          <t>Real-time / Batch</t>
        </is>
      </c>
    </row>
    <row r="7">
      <c r="A7" s="7" t="inlineStr">
        <is>
          <t>Storage</t>
        </is>
      </c>
      <c r="B7" s="7" t="inlineStr">
        <is>
          <t>PostgreSQL + File System</t>
        </is>
      </c>
      <c r="C7" s="7" t="inlineStr">
        <is>
          <t>Structured data persistence</t>
        </is>
      </c>
      <c r="D7" s="7" t="inlineStr">
        <is>
          <t>On-write</t>
        </is>
      </c>
    </row>
    <row r="8">
      <c r="A8" s="6" t="inlineStr">
        <is>
          <t>Processing</t>
        </is>
      </c>
      <c r="B8" s="6" t="inlineStr">
        <is>
          <t>Python ETL Pipeline</t>
        </is>
      </c>
      <c r="C8" s="6" t="inlineStr">
        <is>
          <t>Data cleaning and normalization</t>
        </is>
      </c>
      <c r="D8" s="6" t="inlineStr">
        <is>
          <t>Scheduled</t>
        </is>
      </c>
    </row>
    <row r="9">
      <c r="A9" s="7" t="inlineStr">
        <is>
          <t>Analytics</t>
        </is>
      </c>
      <c r="B9" s="7" t="inlineStr">
        <is>
          <t>Excel / BI Dashboard</t>
        </is>
      </c>
      <c r="C9" s="7" t="inlineStr">
        <is>
          <t>Reporting and visualization</t>
        </is>
      </c>
      <c r="D9" s="7" t="inlineStr">
        <is>
          <t>Daily / On-demand</t>
        </is>
      </c>
    </row>
    <row r="10">
      <c r="A10" s="6" t="inlineStr">
        <is>
          <t>Distribution</t>
        </is>
      </c>
      <c r="B10" s="6" t="inlineStr">
        <is>
          <t>Email, Slack, Reports</t>
        </is>
      </c>
      <c r="C10" s="6" t="inlineStr">
        <is>
          <t>Stakeholder notifications</t>
        </is>
      </c>
      <c r="D10" s="6" t="inlineStr">
        <is>
          <t>Scheduled</t>
        </is>
      </c>
    </row>
    <row r="12">
      <c r="A12" s="2" t="inlineStr">
        <is>
          <t>DATA COLLECTION BY CHANNEL</t>
        </is>
      </c>
    </row>
    <row r="13">
      <c r="A13" s="5" t="inlineStr">
        <is>
          <t>Channel</t>
        </is>
      </c>
      <c r="B13" s="5" t="inlineStr">
        <is>
          <t>Collection Method</t>
        </is>
      </c>
      <c r="C13" s="5" t="inlineStr">
        <is>
          <t>API/Integration</t>
        </is>
      </c>
      <c r="D13" s="5" t="inlineStr">
        <is>
          <t>Data Points</t>
        </is>
      </c>
      <c r="E13" s="5" t="inlineStr">
        <is>
          <t>Frequency</t>
        </is>
      </c>
    </row>
    <row r="14">
      <c r="A14" s="6" t="inlineStr">
        <is>
          <t>Mikorean Website</t>
        </is>
      </c>
      <c r="B14" s="6" t="inlineStr">
        <is>
          <t>WooCommerce/Shopify API</t>
        </is>
      </c>
      <c r="C14" s="6" t="inlineStr">
        <is>
          <t>REST API + Webhooks</t>
        </is>
      </c>
      <c r="D14" s="6" t="inlineStr">
        <is>
          <t>Orders, customers, sessions, cart events</t>
        </is>
      </c>
      <c r="E14" s="6" t="inlineStr">
        <is>
          <t>Real-time</t>
        </is>
      </c>
    </row>
    <row r="15">
      <c r="A15" s="7" t="inlineStr">
        <is>
          <t>Jumia</t>
        </is>
      </c>
      <c r="B15" s="7" t="inlineStr">
        <is>
          <t>Jumia Seller API</t>
        </is>
      </c>
      <c r="C15" s="7" t="inlineStr">
        <is>
          <t>REST API</t>
        </is>
      </c>
      <c r="D15" s="7" t="inlineStr">
        <is>
          <t>Orders, returns, ratings, inventory</t>
        </is>
      </c>
      <c r="E15" s="7" t="inlineStr">
        <is>
          <t>Hourly</t>
        </is>
      </c>
    </row>
    <row r="16">
      <c r="A16" s="6" t="inlineStr">
        <is>
          <t>Konga</t>
        </is>
      </c>
      <c r="B16" s="6" t="inlineStr">
        <is>
          <t>Konga Seller Portal</t>
        </is>
      </c>
      <c r="C16" s="6" t="inlineStr">
        <is>
          <t>CSV Export / API</t>
        </is>
      </c>
      <c r="D16" s="6" t="inlineStr">
        <is>
          <t>Orders, returns, inventory</t>
        </is>
      </c>
      <c r="E16" s="6" t="inlineStr">
        <is>
          <t>Daily</t>
        </is>
      </c>
    </row>
    <row r="17">
      <c r="A17" s="7" t="inlineStr">
        <is>
          <t>Social Media</t>
        </is>
      </c>
      <c r="B17" s="7" t="inlineStr">
        <is>
          <t>Meta/TikTok API</t>
        </is>
      </c>
      <c r="C17" s="7" t="inlineStr">
        <is>
          <t>Graph API</t>
        </is>
      </c>
      <c r="D17" s="7" t="inlineStr">
        <is>
          <t>Ad spend, impressions, clicks, conversions</t>
        </is>
      </c>
      <c r="E17" s="7" t="inlineStr">
        <is>
          <t>Daily</t>
        </is>
      </c>
    </row>
    <row r="18">
      <c r="A18" s="6" t="inlineStr">
        <is>
          <t>Google Analytics</t>
        </is>
      </c>
      <c r="B18" s="6" t="inlineStr">
        <is>
          <t>GA4 API</t>
        </is>
      </c>
      <c r="C18" s="6" t="inlineStr">
        <is>
          <t>Measurement Protocol</t>
        </is>
      </c>
      <c r="D18" s="6" t="inlineStr">
        <is>
          <t>Sessions, users, conversions, funnel</t>
        </is>
      </c>
      <c r="E18" s="6" t="inlineStr">
        <is>
          <t>Daily</t>
        </is>
      </c>
    </row>
    <row r="19">
      <c r="A19" s="7" t="inlineStr">
        <is>
          <t>Influencer Tracking</t>
        </is>
      </c>
      <c r="B19" s="7" t="inlineStr">
        <is>
          <t>UTM Parameters + Promo Codes</t>
        </is>
      </c>
      <c r="C19" s="7" t="inlineStr">
        <is>
          <t>Manual + API</t>
        </is>
      </c>
      <c r="D19" s="7" t="inlineStr">
        <is>
          <t>Clicks, conversions, revenue per influencer</t>
        </is>
      </c>
      <c r="E19" s="7" t="inlineStr">
        <is>
          <t>Daily</t>
        </is>
      </c>
    </row>
    <row r="20">
      <c r="A20" s="6" t="inlineStr">
        <is>
          <t>POS (Offline)</t>
        </is>
      </c>
      <c r="B20" s="6" t="inlineStr">
        <is>
          <t>Manual Entry / Excel Upload</t>
        </is>
      </c>
      <c r="C20" s="6" t="inlineStr">
        <is>
          <t>File Upload</t>
        </is>
      </c>
      <c r="D20" s="6" t="inlineStr">
        <is>
          <t>In-store transactions</t>
        </is>
      </c>
      <c r="E20" s="6" t="inlineStr">
        <is>
          <t>Daily</t>
        </is>
      </c>
    </row>
    <row r="21">
      <c r="A21" s="7" t="inlineStr">
        <is>
          <t>Customer Support</t>
        </is>
      </c>
      <c r="B21" s="7" t="inlineStr">
        <is>
          <t>Helpdesk Integration</t>
        </is>
      </c>
      <c r="C21" s="7" t="inlineStr">
        <is>
          <t>API / CSV</t>
        </is>
      </c>
      <c r="D21" s="7" t="inlineStr">
        <is>
          <t>Tickets, returns, complaints</t>
        </is>
      </c>
      <c r="E21" s="7" t="inlineStr">
        <is>
          <t>Weekly</t>
        </is>
      </c>
    </row>
    <row r="23">
      <c r="A23" s="2" t="inlineStr">
        <is>
          <t>DATA FLOW &amp; INTEGRATION</t>
        </is>
      </c>
    </row>
    <row r="24">
      <c r="A24" s="5" t="inlineStr">
        <is>
          <t>Step</t>
        </is>
      </c>
      <c r="B24" s="5" t="inlineStr">
        <is>
          <t>Process</t>
        </is>
      </c>
      <c r="C24" s="5" t="inlineStr">
        <is>
          <t>Tool/Method</t>
        </is>
      </c>
      <c r="D24" s="5" t="inlineStr">
        <is>
          <t>Output</t>
        </is>
      </c>
    </row>
    <row r="25">
      <c r="A25" s="6" t="inlineStr">
        <is>
          <t>1</t>
        </is>
      </c>
      <c r="B25" s="6" t="inlineStr">
        <is>
          <t>Raw data ingestion</t>
        </is>
      </c>
      <c r="C25" s="6" t="inlineStr">
        <is>
          <t>API calls, webhooks, file uploads</t>
        </is>
      </c>
      <c r="D25" s="6" t="inlineStr">
        <is>
          <t>Raw data files (CSV/JSON)</t>
        </is>
      </c>
    </row>
    <row r="26">
      <c r="A26" s="7" t="inlineStr">
        <is>
          <t>2</t>
        </is>
      </c>
      <c r="B26" s="7" t="inlineStr">
        <is>
          <t>Data validation</t>
        </is>
      </c>
      <c r="C26" s="7" t="inlineStr">
        <is>
          <t>Python validation scripts</t>
        </is>
      </c>
      <c r="D26" s="7" t="inlineStr">
        <is>
          <t>Clean/error-flagged datasets</t>
        </is>
      </c>
    </row>
    <row r="27">
      <c r="A27" s="6" t="inlineStr">
        <is>
          <t>3</t>
        </is>
      </c>
      <c r="B27" s="6" t="inlineStr">
        <is>
          <t>Data transformation</t>
        </is>
      </c>
      <c r="C27" s="6" t="inlineStr">
        <is>
          <t>Pandas ETL pipeline</t>
        </is>
      </c>
      <c r="D27" s="6" t="inlineStr">
        <is>
          <t>Normalized tables</t>
        </is>
      </c>
    </row>
    <row r="28">
      <c r="A28" s="7" t="inlineStr">
        <is>
          <t>4</t>
        </is>
      </c>
      <c r="B28" s="7" t="inlineStr">
        <is>
          <t>Data storage</t>
        </is>
      </c>
      <c r="C28" s="7" t="inlineStr">
        <is>
          <t>PostgreSQL / Excel workbook</t>
        </is>
      </c>
      <c r="D28" s="7" t="inlineStr">
        <is>
          <t>Persisted records</t>
        </is>
      </c>
    </row>
    <row r="29">
      <c r="A29" s="6" t="inlineStr">
        <is>
          <t>5</t>
        </is>
      </c>
      <c r="B29" s="6" t="inlineStr">
        <is>
          <t>Metric calculation</t>
        </is>
      </c>
      <c r="C29" s="6" t="inlineStr">
        <is>
          <t>SQL queries / Excel formulas</t>
        </is>
      </c>
      <c r="D29" s="6" t="inlineStr">
        <is>
          <t>KPI dashboard data</t>
        </is>
      </c>
    </row>
    <row r="30">
      <c r="A30" s="7" t="inlineStr">
        <is>
          <t>6</t>
        </is>
      </c>
      <c r="B30" s="7" t="inlineStr">
        <is>
          <t>Report generation</t>
        </is>
      </c>
      <c r="C30" s="7" t="inlineStr">
        <is>
          <t>Excel templates + Python</t>
        </is>
      </c>
      <c r="D30" s="7" t="inlineStr">
        <is>
          <t>Daily/Weekly/Monthly reports</t>
        </is>
      </c>
    </row>
    <row r="31">
      <c r="A31" s="6" t="inlineStr">
        <is>
          <t>7</t>
        </is>
      </c>
      <c r="B31" s="6" t="inlineStr">
        <is>
          <t>Distribution</t>
        </is>
      </c>
      <c r="C31" s="6" t="inlineStr">
        <is>
          <t>Email automation + Slack</t>
        </is>
      </c>
      <c r="D31" s="6" t="inlineStr">
        <is>
          <t>Stakeholder notifications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5" customWidth="1" min="4" max="4"/>
    <col width="18" customWidth="1" min="5" max="5"/>
    <col width="18" customWidth="1" min="6" max="6"/>
  </cols>
  <sheetData>
    <row r="1">
      <c r="A1" s="1" t="inlineStr">
        <is>
          <t>REVENUE TRACKING DASHBOARD</t>
        </is>
      </c>
    </row>
    <row r="2">
      <c r="A2" s="2" t="inlineStr">
        <is>
          <t>Revenue by Product, Channel, City, Campaign, and Influencer</t>
        </is>
      </c>
    </row>
    <row r="4">
      <c r="A4" s="2" t="inlineStr">
        <is>
          <t>REVENUE BY PRODUCT</t>
        </is>
      </c>
    </row>
    <row r="5">
      <c r="A5" s="5" t="inlineStr">
        <is>
          <t>Product</t>
        </is>
      </c>
      <c r="B5" s="5" t="inlineStr">
        <is>
          <t>MTD Revenue (NGN)</t>
        </is>
      </c>
      <c r="C5" s="5" t="inlineStr">
        <is>
          <t>YTD Revenue (NGN)</t>
        </is>
      </c>
      <c r="D5" s="5" t="inlineStr">
        <is>
          <t>Target (NGN)</t>
        </is>
      </c>
      <c r="E5" s="5" t="inlineStr">
        <is>
          <t>% of Target</t>
        </is>
      </c>
      <c r="F5" s="5" t="inlineStr">
        <is>
          <t>MoM Growth</t>
        </is>
      </c>
    </row>
    <row r="6">
      <c r="A6" s="6" t="inlineStr">
        <is>
          <t>Cables</t>
        </is>
      </c>
      <c r="B6" s="6" t="n">
        <v>0</v>
      </c>
      <c r="C6" s="6" t="n">
        <v>0</v>
      </c>
      <c r="D6" s="6" t="n">
        <v>0</v>
      </c>
      <c r="E6" s="9">
        <f>IF(D6=0,"-",B6/D6)</f>
        <v/>
      </c>
      <c r="F6" s="9" t="n">
        <v>0</v>
      </c>
    </row>
    <row r="7">
      <c r="A7" s="7" t="inlineStr">
        <is>
          <t>Power Banks</t>
        </is>
      </c>
      <c r="B7" s="10" t="n">
        <v>0</v>
      </c>
      <c r="C7" s="10" t="n">
        <v>0</v>
      </c>
      <c r="D7" s="10" t="n">
        <v>0</v>
      </c>
      <c r="E7" s="11">
        <f>IF(D7=0,"-",B7/D7)</f>
        <v/>
      </c>
      <c r="F7" s="12" t="n">
        <v>0</v>
      </c>
    </row>
    <row r="8">
      <c r="A8" s="6" t="inlineStr">
        <is>
          <t>Smart Glasses</t>
        </is>
      </c>
      <c r="B8" s="6" t="n">
        <v>0</v>
      </c>
      <c r="C8" s="6" t="n">
        <v>0</v>
      </c>
      <c r="D8" s="6" t="n">
        <v>0</v>
      </c>
      <c r="E8" s="9">
        <f>IF(D8=0,"-",B8/D8)</f>
        <v/>
      </c>
      <c r="F8" s="9" t="n">
        <v>0</v>
      </c>
    </row>
    <row r="9">
      <c r="A9" s="7" t="inlineStr">
        <is>
          <t>Smart Watches</t>
        </is>
      </c>
      <c r="B9" s="10" t="n">
        <v>0</v>
      </c>
      <c r="C9" s="10" t="n">
        <v>0</v>
      </c>
      <c r="D9" s="10" t="n">
        <v>0</v>
      </c>
      <c r="E9" s="11">
        <f>IF(D9=0,"-",B9/D9)</f>
        <v/>
      </c>
      <c r="F9" s="12" t="n">
        <v>0</v>
      </c>
    </row>
    <row r="10">
      <c r="A10" s="6" t="inlineStr">
        <is>
          <t>Chargers</t>
        </is>
      </c>
      <c r="B10" s="6" t="n">
        <v>0</v>
      </c>
      <c r="C10" s="6" t="n">
        <v>0</v>
      </c>
      <c r="D10" s="6" t="n">
        <v>0</v>
      </c>
      <c r="E10" s="9">
        <f>IF(D10=0,"-",B10/D10)</f>
        <v/>
      </c>
      <c r="F10" s="9" t="n">
        <v>0</v>
      </c>
    </row>
    <row r="11">
      <c r="A11" s="7" t="inlineStr">
        <is>
          <t>Car Chargers</t>
        </is>
      </c>
      <c r="B11" s="10" t="n">
        <v>0</v>
      </c>
      <c r="C11" s="10" t="n">
        <v>0</v>
      </c>
      <c r="D11" s="10" t="n">
        <v>0</v>
      </c>
      <c r="E11" s="11">
        <f>IF(D11=0,"-",B11/D11)</f>
        <v/>
      </c>
      <c r="F11" s="12" t="n">
        <v>0</v>
      </c>
    </row>
    <row r="12">
      <c r="A12" s="6" t="inlineStr">
        <is>
          <t>Headsets</t>
        </is>
      </c>
      <c r="B12" s="6" t="n">
        <v>0</v>
      </c>
      <c r="C12" s="6" t="n">
        <v>0</v>
      </c>
      <c r="D12" s="6" t="n">
        <v>0</v>
      </c>
      <c r="E12" s="9">
        <f>IF(D12=0,"-",B12/D12)</f>
        <v/>
      </c>
      <c r="F12" s="9" t="n">
        <v>0</v>
      </c>
    </row>
    <row r="13">
      <c r="A13" s="7" t="inlineStr">
        <is>
          <t>Ear Buds</t>
        </is>
      </c>
      <c r="B13" s="10" t="n">
        <v>0</v>
      </c>
      <c r="C13" s="10" t="n">
        <v>0</v>
      </c>
      <c r="D13" s="10" t="n">
        <v>0</v>
      </c>
      <c r="E13" s="11">
        <f>IF(D13=0,"-",B13/D13)</f>
        <v/>
      </c>
      <c r="F13" s="12" t="n">
        <v>0</v>
      </c>
    </row>
    <row r="14">
      <c r="A14" s="6" t="inlineStr">
        <is>
          <t>Phone Stands</t>
        </is>
      </c>
      <c r="B14" s="6" t="n">
        <v>0</v>
      </c>
      <c r="C14" s="6" t="n">
        <v>0</v>
      </c>
      <c r="D14" s="6" t="n">
        <v>0</v>
      </c>
      <c r="E14" s="9">
        <f>IF(D14=0,"-",B14/D14)</f>
        <v/>
      </c>
      <c r="F14" s="9" t="n">
        <v>0</v>
      </c>
    </row>
    <row r="15">
      <c r="A15" s="7" t="inlineStr">
        <is>
          <t>Phone Holders</t>
        </is>
      </c>
      <c r="B15" s="10" t="n">
        <v>0</v>
      </c>
      <c r="C15" s="10" t="n">
        <v>0</v>
      </c>
      <c r="D15" s="10" t="n">
        <v>0</v>
      </c>
      <c r="E15" s="11">
        <f>IF(D15=0,"-",B15/D15)</f>
        <v/>
      </c>
      <c r="F15" s="12" t="n">
        <v>0</v>
      </c>
    </row>
    <row r="16">
      <c r="A16" s="6" t="inlineStr">
        <is>
          <t>Tablet/Laptop Stands</t>
        </is>
      </c>
      <c r="B16" s="6" t="n">
        <v>0</v>
      </c>
      <c r="C16" s="6" t="n">
        <v>0</v>
      </c>
      <c r="D16" s="6" t="n">
        <v>0</v>
      </c>
      <c r="E16" s="9">
        <f>IF(D16=0,"-",B16/D16)</f>
        <v/>
      </c>
      <c r="F16" s="9" t="n">
        <v>0</v>
      </c>
    </row>
    <row r="17">
      <c r="A17" s="7" t="inlineStr">
        <is>
          <t>Rechargeable Hand Fans</t>
        </is>
      </c>
      <c r="B17" s="10" t="n">
        <v>0</v>
      </c>
      <c r="C17" s="10" t="n">
        <v>0</v>
      </c>
      <c r="D17" s="10" t="n">
        <v>0</v>
      </c>
      <c r="E17" s="11">
        <f>IF(D17=0,"-",B17/D17)</f>
        <v/>
      </c>
      <c r="F17" s="12" t="n">
        <v>0</v>
      </c>
    </row>
    <row r="18">
      <c r="A18" s="13" t="inlineStr">
        <is>
          <t>TOTAL</t>
        </is>
      </c>
      <c r="B18" s="13">
        <f>SUM(B6:B17)</f>
        <v/>
      </c>
      <c r="C18" s="13">
        <f>SUM(C6:C17)</f>
        <v/>
      </c>
      <c r="D18" s="13">
        <f>SUM(D6:D17)</f>
        <v/>
      </c>
      <c r="E18" s="14">
        <f>IF(D18=0,"-",B18/D18)</f>
        <v/>
      </c>
      <c r="F18" s="13" t="n"/>
    </row>
    <row r="20">
      <c r="A20" s="2" t="inlineStr">
        <is>
          <t>REVENUE BY CHANNEL</t>
        </is>
      </c>
    </row>
    <row r="21">
      <c r="A21" s="5" t="inlineStr">
        <is>
          <t>Channel</t>
        </is>
      </c>
      <c r="B21" s="5" t="inlineStr">
        <is>
          <t>MTD Revenue (NGN)</t>
        </is>
      </c>
      <c r="C21" s="5" t="inlineStr">
        <is>
          <t>YTD Revenue (NGN)</t>
        </is>
      </c>
      <c r="D21" s="5" t="inlineStr">
        <is>
          <t>% Share</t>
        </is>
      </c>
      <c r="E21" s="5" t="inlineStr">
        <is>
          <t>Transactions</t>
        </is>
      </c>
      <c r="F21" s="5" t="inlineStr">
        <is>
          <t>AOV</t>
        </is>
      </c>
    </row>
    <row r="22">
      <c r="A22" s="6" t="inlineStr">
        <is>
          <t>Website</t>
        </is>
      </c>
      <c r="B22" s="6" t="n">
        <v>0</v>
      </c>
      <c r="C22" s="6" t="n">
        <v>0</v>
      </c>
      <c r="D22" s="9">
        <f>IF(B$26=0,"-",B22/B$26)</f>
        <v/>
      </c>
      <c r="E22" s="6" t="n">
        <v>0</v>
      </c>
      <c r="F22" s="15">
        <f>IF(E22=0,"-",B22/E22)</f>
        <v/>
      </c>
    </row>
    <row r="23">
      <c r="A23" s="7" t="inlineStr">
        <is>
          <t>Jumia</t>
        </is>
      </c>
      <c r="B23" s="10" t="n">
        <v>0</v>
      </c>
      <c r="C23" s="10" t="n">
        <v>0</v>
      </c>
      <c r="D23" s="11">
        <f>IF(B$26=0,"-",B23/B$26)</f>
        <v/>
      </c>
      <c r="E23" s="10" t="n">
        <v>0</v>
      </c>
      <c r="F23" s="16">
        <f>IF(E23=0,"-",B23/E23)</f>
        <v/>
      </c>
    </row>
    <row r="24">
      <c r="A24" s="6" t="inlineStr">
        <is>
          <t>Konga</t>
        </is>
      </c>
      <c r="B24" s="6" t="n">
        <v>0</v>
      </c>
      <c r="C24" s="6" t="n">
        <v>0</v>
      </c>
      <c r="D24" s="9">
        <f>IF(B$26=0,"-",B24/B$26)</f>
        <v/>
      </c>
      <c r="E24" s="6" t="n">
        <v>0</v>
      </c>
      <c r="F24" s="15">
        <f>IF(E24=0,"-",B24/E24)</f>
        <v/>
      </c>
    </row>
    <row r="25">
      <c r="A25" s="7" t="inlineStr">
        <is>
          <t>Offline/POS</t>
        </is>
      </c>
      <c r="B25" s="10" t="n">
        <v>0</v>
      </c>
      <c r="C25" s="10" t="n">
        <v>0</v>
      </c>
      <c r="D25" s="11">
        <f>IF(B$26=0,"-",B25/B$26)</f>
        <v/>
      </c>
      <c r="E25" s="10" t="n">
        <v>0</v>
      </c>
      <c r="F25" s="16">
        <f>IF(E25=0,"-",B25/E25)</f>
        <v/>
      </c>
    </row>
    <row r="26">
      <c r="A26" s="13" t="inlineStr">
        <is>
          <t>TOTAL</t>
        </is>
      </c>
      <c r="B26" s="13">
        <f>SUM(B22:B25)</f>
        <v/>
      </c>
      <c r="C26" s="13">
        <f>SUM(C22:C25)</f>
        <v/>
      </c>
      <c r="D26" s="13">
        <f>IF(B26=0,"-",SUM(D22:D25))</f>
        <v/>
      </c>
      <c r="E26" s="13">
        <f>SUM(E22:E25)</f>
        <v/>
      </c>
      <c r="F26" s="17">
        <f>IF(E26=0,"-",B26/E26)</f>
        <v/>
      </c>
    </row>
    <row r="28">
      <c r="A28" s="2" t="inlineStr">
        <is>
          <t>REVENUE BY CITY</t>
        </is>
      </c>
    </row>
    <row r="29">
      <c r="A29" s="5" t="inlineStr">
        <is>
          <t>City</t>
        </is>
      </c>
      <c r="B29" s="5" t="inlineStr">
        <is>
          <t>MTD Revenue (NGN)</t>
        </is>
      </c>
      <c r="C29" s="5" t="inlineStr">
        <is>
          <t>YTD Revenue (NGN)</t>
        </is>
      </c>
      <c r="D29" s="5" t="inlineStr">
        <is>
          <t>% Share</t>
        </is>
      </c>
      <c r="E29" s="5" t="inlineStr">
        <is>
          <t>Orders</t>
        </is>
      </c>
      <c r="F29" s="5" t="inlineStr">
        <is>
          <t>Avg Order Value</t>
        </is>
      </c>
    </row>
    <row r="30">
      <c r="A30" s="6" t="inlineStr">
        <is>
          <t>Lagos</t>
        </is>
      </c>
      <c r="B30" s="6" t="n">
        <v>0</v>
      </c>
      <c r="C30" s="6" t="n">
        <v>0</v>
      </c>
      <c r="D30" s="9">
        <f>IF(B$34=0,"-",B30/B$34)</f>
        <v/>
      </c>
      <c r="E30" s="6" t="n">
        <v>0</v>
      </c>
      <c r="F30" s="15">
        <f>IF(E30=0,"-",B30/E30)</f>
        <v/>
      </c>
    </row>
    <row r="31">
      <c r="A31" s="7" t="inlineStr">
        <is>
          <t>Abuja</t>
        </is>
      </c>
      <c r="B31" s="10" t="n">
        <v>0</v>
      </c>
      <c r="C31" s="10" t="n">
        <v>0</v>
      </c>
      <c r="D31" s="11">
        <f>IF(B$34=0,"-",B31/B$34)</f>
        <v/>
      </c>
      <c r="E31" s="10" t="n">
        <v>0</v>
      </c>
      <c r="F31" s="16">
        <f>IF(E31=0,"-",B31/E31)</f>
        <v/>
      </c>
    </row>
    <row r="32">
      <c r="A32" s="6" t="inlineStr">
        <is>
          <t>Port Harcourt</t>
        </is>
      </c>
      <c r="B32" s="6" t="n">
        <v>0</v>
      </c>
      <c r="C32" s="6" t="n">
        <v>0</v>
      </c>
      <c r="D32" s="9">
        <f>IF(B$34=0,"-",B32/B$34)</f>
        <v/>
      </c>
      <c r="E32" s="6" t="n">
        <v>0</v>
      </c>
      <c r="F32" s="15">
        <f>IF(E32=0,"-",B32/E32)</f>
        <v/>
      </c>
    </row>
    <row r="33">
      <c r="A33" s="7" t="inlineStr">
        <is>
          <t>Other</t>
        </is>
      </c>
      <c r="B33" s="10" t="n">
        <v>0</v>
      </c>
      <c r="C33" s="10" t="n">
        <v>0</v>
      </c>
      <c r="D33" s="11">
        <f>IF(B$34=0,"-",B33/B$34)</f>
        <v/>
      </c>
      <c r="E33" s="10" t="n">
        <v>0</v>
      </c>
      <c r="F33" s="16">
        <f>IF(E33=0,"-",B33/E33)</f>
        <v/>
      </c>
    </row>
    <row r="34">
      <c r="A34" s="13" t="inlineStr">
        <is>
          <t>TOTAL</t>
        </is>
      </c>
      <c r="B34" s="13">
        <f>SUM(B30:B33)</f>
        <v/>
      </c>
      <c r="C34" s="13">
        <f>SUM(C30:C33)</f>
        <v/>
      </c>
      <c r="D34" s="13" t="n"/>
      <c r="E34" s="13">
        <f>SUM(E30:E33)</f>
        <v/>
      </c>
      <c r="F34" s="17">
        <f>IF(E34=0,"-",B34/E34)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CHANNEL PERFORMANCE ANALYSIS</t>
        </is>
      </c>
    </row>
    <row r="2">
      <c r="A2" s="2" t="inlineStr">
        <is>
          <t>Website vs Jumia vs Konga - Comparative Metrics</t>
        </is>
      </c>
    </row>
    <row r="4">
      <c r="A4" s="5" t="inlineStr">
        <is>
          <t>Metric</t>
        </is>
      </c>
      <c r="B4" s="5" t="inlineStr">
        <is>
          <t>Website</t>
        </is>
      </c>
      <c r="C4" s="5" t="inlineStr">
        <is>
          <t>Jumia</t>
        </is>
      </c>
      <c r="D4" s="5" t="inlineStr">
        <is>
          <t>Konga</t>
        </is>
      </c>
      <c r="E4" s="5" t="inlineStr">
        <is>
          <t>Offline/POS</t>
        </is>
      </c>
      <c r="F4" s="5" t="inlineStr">
        <is>
          <t>Total</t>
        </is>
      </c>
      <c r="G4" s="5" t="inlineStr">
        <is>
          <t>Best Performer</t>
        </is>
      </c>
    </row>
    <row r="5">
      <c r="A5" s="6" t="inlineStr">
        <is>
          <t>MTD Revenue (NGN)</t>
        </is>
      </c>
      <c r="B5" s="6" t="n">
        <v>0</v>
      </c>
      <c r="C5" s="6" t="n">
        <v>0</v>
      </c>
      <c r="D5" s="6" t="n">
        <v>0</v>
      </c>
      <c r="E5" s="6" t="n">
        <v>0</v>
      </c>
      <c r="F5" s="6">
        <f>SUM(B5:E5)</f>
        <v/>
      </c>
      <c r="G5" s="6">
        <f>IF(MAX(B5:E5)=0,"-",INDEX(B$1:E$1,MATCH(MAX(B5:E5),B5:E5,0)))</f>
        <v/>
      </c>
    </row>
    <row r="6">
      <c r="A6" s="7" t="inlineStr">
        <is>
          <t>YTD Revenue (NGN)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7">
        <f>SUM(B6:E6)</f>
        <v/>
      </c>
      <c r="G6" s="7">
        <f>IF(MAX(B6:E6)=0,"-",INDEX(B$1:E$1,MATCH(MAX(B6:E6),B6:E6,0)))</f>
        <v/>
      </c>
    </row>
    <row r="7">
      <c r="A7" s="6" t="inlineStr">
        <is>
          <t>Units Sold</t>
        </is>
      </c>
      <c r="B7" s="6" t="n">
        <v>0</v>
      </c>
      <c r="C7" s="6" t="n">
        <v>0</v>
      </c>
      <c r="D7" s="6" t="n">
        <v>0</v>
      </c>
      <c r="E7" s="6" t="n">
        <v>0</v>
      </c>
      <c r="F7" s="6">
        <f>SUM(B7:E7)</f>
        <v/>
      </c>
      <c r="G7" s="6">
        <f>IF(MAX(B7:E7)=0,"-",INDEX(B$1:E$1,MATCH(MAX(B7:E7),B7:E7,0)))</f>
        <v/>
      </c>
    </row>
    <row r="8">
      <c r="A8" s="7" t="inlineStr">
        <is>
          <t>Transactions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7">
        <f>SUM(B8:E8)</f>
        <v/>
      </c>
      <c r="G8" s="7">
        <f>IF(MAX(B8:E8)=0,"-",INDEX(B$1:E$1,MATCH(MAX(B8:E8),B8:E8,0)))</f>
        <v/>
      </c>
    </row>
    <row r="9">
      <c r="A9" s="6" t="inlineStr">
        <is>
          <t>Average Order Value (NGN)</t>
        </is>
      </c>
      <c r="B9" s="6" t="n">
        <v>0</v>
      </c>
      <c r="C9" s="6" t="n">
        <v>0</v>
      </c>
      <c r="D9" s="6" t="n">
        <v>0</v>
      </c>
      <c r="E9" s="6" t="n">
        <v>0</v>
      </c>
      <c r="F9" s="6">
        <f>SUM(B9:E9)</f>
        <v/>
      </c>
      <c r="G9" s="6">
        <f>IF(MAX(B9:E9)=0,"-",INDEX(B$1:E$1,MATCH(MAX(B9:E9),B9:E9,0)))</f>
        <v/>
      </c>
    </row>
    <row r="10">
      <c r="A10" s="7" t="inlineStr">
        <is>
          <t>Conversion Rate (%)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7">
        <f>SUM(B10:E10)</f>
        <v/>
      </c>
      <c r="G10" s="7">
        <f>IF(MAX(B10:E10)=0,"-",INDEX(B$1:E$1,MATCH(MAX(B10:E10),B10:E10,0)))</f>
        <v/>
      </c>
    </row>
    <row r="11">
      <c r="A11" s="6" t="inlineStr">
        <is>
          <t>Return Rate (%)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>
        <f>SUM(B11:E11)</f>
        <v/>
      </c>
      <c r="G11" s="6">
        <f>IF(MAX(B11:E11)=0,"-",INDEX(B$1:E$1,MATCH(MAX(B11:E11),B11:E11,0)))</f>
        <v/>
      </c>
    </row>
    <row r="12">
      <c r="A12" s="7" t="inlineStr">
        <is>
          <t>Customer Acquisition Cost (NGN)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7">
        <f>SUM(B12:E12)</f>
        <v/>
      </c>
      <c r="G12" s="7">
        <f>IF(MAX(B12:E12)=0,"-",INDEX(B$1:E$1,MATCH(MAX(B12:E12),B12:E12,0)))</f>
        <v/>
      </c>
    </row>
    <row r="13">
      <c r="A13" s="6" t="inlineStr">
        <is>
          <t>Marketing Spend (NGN)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>
        <f>SUM(B13:E13)</f>
        <v/>
      </c>
      <c r="G13" s="6">
        <f>IF(MAX(B13:E13)=0,"-",INDEX(B$1:E$1,MATCH(MAX(B13:E13),B13:E13,0)))</f>
        <v/>
      </c>
    </row>
    <row r="14">
      <c r="A14" s="7" t="inlineStr">
        <is>
          <t>Marketing ROI (%)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7">
        <f>SUM(B14:E14)</f>
        <v/>
      </c>
      <c r="G14" s="7">
        <f>IF(MAX(B14:E14)=0,"-",INDEX(B$1:E$1,MATCH(MAX(B14:E14),B14:E14,0)))</f>
        <v/>
      </c>
    </row>
    <row r="15">
      <c r="A15" s="6" t="inlineStr">
        <is>
          <t>Average Discount (%)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>
        <f>SUM(B15:E15)</f>
        <v/>
      </c>
      <c r="G15" s="6">
        <f>IF(MAX(B15:E15)=0,"-",INDEX(B$1:E$1,MATCH(MAX(B15:E15),B15:E15,0)))</f>
        <v/>
      </c>
    </row>
    <row r="16">
      <c r="A16" s="7" t="inlineStr">
        <is>
          <t>Cart Abandonment Rate (%)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7">
        <f>SUM(B16:E16)</f>
        <v/>
      </c>
      <c r="G16" s="7">
        <f>IF(MAX(B16:E16)=0,"-",INDEX(B$1:E$1,MATCH(MAX(B16:E16),B16:E16,0)))</f>
        <v/>
      </c>
    </row>
    <row r="17">
      <c r="A17" s="6" t="inlineStr">
        <is>
          <t>New Customers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>
        <f>SUM(B17:E17)</f>
        <v/>
      </c>
      <c r="G17" s="6">
        <f>IF(MAX(B17:E17)=0,"-",INDEX(B$1:E$1,MATCH(MAX(B17:E17),B17:E17,0)))</f>
        <v/>
      </c>
    </row>
    <row r="18">
      <c r="A18" s="7" t="inlineStr">
        <is>
          <t>Repeat Customers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7">
        <f>SUM(B18:E18)</f>
        <v/>
      </c>
      <c r="G18" s="7">
        <f>IF(MAX(B18:E18)=0,"-",INDEX(B$1:E$1,MATCH(MAX(B18:E18),B18:E18,0)))</f>
        <v/>
      </c>
    </row>
    <row r="19">
      <c r="A19" s="6" t="inlineStr">
        <is>
          <t>Average Rating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>
        <f>SUM(B19:E19)</f>
        <v/>
      </c>
      <c r="G19" s="6">
        <f>IF(MAX(B19:E19)=0,"-",INDEX(B$1:E$1,MATCH(MAX(B19:E19),B19:E19,0)))</f>
        <v/>
      </c>
    </row>
    <row r="20">
      <c r="A20" s="7" t="inlineStr">
        <is>
          <t>Fulfillment Time (Days)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7">
        <f>SUM(B20:E20)</f>
        <v/>
      </c>
      <c r="G20" s="7">
        <f>IF(MAX(B20:E20)=0,"-",INDEX(B$1:E$1,MATCH(MAX(B20:E20),B20:E20,0)))</f>
        <v/>
      </c>
    </row>
    <row r="22">
      <c r="A22" s="2" t="inlineStr">
        <is>
          <t>REVENUE SHARE BY CHANNEL (%)</t>
        </is>
      </c>
    </row>
    <row r="23">
      <c r="A23" s="5" t="inlineStr">
        <is>
          <t>Channel</t>
        </is>
      </c>
      <c r="B23" s="5" t="inlineStr">
        <is>
          <t>Week 1</t>
        </is>
      </c>
      <c r="C23" s="5" t="inlineStr">
        <is>
          <t>Week 2</t>
        </is>
      </c>
      <c r="D23" s="5" t="inlineStr">
        <is>
          <t>Week 3</t>
        </is>
      </c>
      <c r="E23" s="5" t="inlineStr">
        <is>
          <t>Week 4</t>
        </is>
      </c>
      <c r="F23" s="5" t="inlineStr">
        <is>
          <t>Monthly Total</t>
        </is>
      </c>
    </row>
    <row r="24">
      <c r="A24" s="6" t="inlineStr">
        <is>
          <t>Website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</row>
    <row r="25">
      <c r="A25" s="7" t="inlineStr">
        <is>
          <t>Jumia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</row>
    <row r="26">
      <c r="A26" s="6" t="inlineStr">
        <is>
          <t>Konga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</row>
    <row r="27">
      <c r="A27" s="7" t="inlineStr">
        <is>
          <t>Offline/POS</t>
        </is>
      </c>
      <c r="B27" s="12" t="n">
        <v>0</v>
      </c>
      <c r="C27" s="12" t="n">
        <v>0</v>
      </c>
      <c r="D27" s="12" t="n">
        <v>0</v>
      </c>
      <c r="E27" s="12" t="n">
        <v>0</v>
      </c>
      <c r="F27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PRODUCT PERFORMANCE TRACKER</t>
        </is>
      </c>
    </row>
    <row r="2">
      <c r="A2" s="2" t="inlineStr">
        <is>
          <t>Sales, Inventory Turnover, and Stock Alerts</t>
        </is>
      </c>
    </row>
    <row r="4">
      <c r="A4" s="5" t="inlineStr">
        <is>
          <t>Product</t>
        </is>
      </c>
      <c r="B4" s="5" t="inlineStr">
        <is>
          <t>Units Sold (MTD)</t>
        </is>
      </c>
      <c r="C4" s="5" t="inlineStr">
        <is>
          <t>Revenue (MTD)</t>
        </is>
      </c>
      <c r="D4" s="5" t="inlineStr">
        <is>
          <t>Cost (MTD)</t>
        </is>
      </c>
      <c r="E4" s="5" t="inlineStr">
        <is>
          <t>Gross Margin</t>
        </is>
      </c>
      <c r="F4" s="5" t="inlineStr">
        <is>
          <t>Inventory Qty</t>
        </is>
      </c>
      <c r="G4" s="5" t="inlineStr">
        <is>
          <t>Reorder Point</t>
        </is>
      </c>
      <c r="H4" s="5" t="inlineStr">
        <is>
          <t>Stock Status</t>
        </is>
      </c>
      <c r="I4" s="5" t="inlineStr">
        <is>
          <t>Turnover Rate</t>
        </is>
      </c>
      <c r="J4" s="5" t="inlineStr">
        <is>
          <t>Days to Sell</t>
        </is>
      </c>
    </row>
    <row r="5">
      <c r="A5" s="6" t="inlineStr">
        <is>
          <t>Cables</t>
        </is>
      </c>
      <c r="B5" s="6" t="n">
        <v>0</v>
      </c>
      <c r="C5" s="6" t="n">
        <v>0</v>
      </c>
      <c r="D5" s="6" t="n">
        <v>0</v>
      </c>
      <c r="E5" s="9">
        <f>IF(C5=0,"-",(C5-D5)/C5)</f>
        <v/>
      </c>
      <c r="F5" s="6" t="n">
        <v>0</v>
      </c>
      <c r="G5" s="6" t="n">
        <v>0</v>
      </c>
      <c r="H5" s="6">
        <f>IF(F5=0,"OUT OF STOCK",IF(F5&lt;=G5,"LOW STOCK","OK"))</f>
        <v/>
      </c>
      <c r="I5" s="18">
        <f>IF(F5=0,"-",(D5/((F5+F5)/2)))</f>
        <v/>
      </c>
      <c r="J5" s="19">
        <f>IF(B5=0,"-",(F5/B5)*30)</f>
        <v/>
      </c>
    </row>
    <row r="6">
      <c r="A6" s="7" t="inlineStr">
        <is>
          <t>Power Banks</t>
        </is>
      </c>
      <c r="B6" s="10" t="n">
        <v>0</v>
      </c>
      <c r="C6" s="10" t="n">
        <v>0</v>
      </c>
      <c r="D6" s="10" t="n">
        <v>0</v>
      </c>
      <c r="E6" s="11">
        <f>IF(C6=0,"-",(C6-D6)/C6)</f>
        <v/>
      </c>
      <c r="F6" s="10" t="n">
        <v>0</v>
      </c>
      <c r="G6" s="10" t="n">
        <v>0</v>
      </c>
      <c r="H6" s="7">
        <f>IF(F6=0,"OUT OF STOCK",IF(F6&lt;=G6,"LOW STOCK","OK"))</f>
        <v/>
      </c>
      <c r="I6" s="20">
        <f>IF(F6=0,"-",(D6/((F6+F6)/2)))</f>
        <v/>
      </c>
      <c r="J6" s="21">
        <f>IF(B6=0,"-",(F6/B6)*30)</f>
        <v/>
      </c>
    </row>
    <row r="7">
      <c r="A7" s="6" t="inlineStr">
        <is>
          <t>Smart Glasses</t>
        </is>
      </c>
      <c r="B7" s="6" t="n">
        <v>0</v>
      </c>
      <c r="C7" s="6" t="n">
        <v>0</v>
      </c>
      <c r="D7" s="6" t="n">
        <v>0</v>
      </c>
      <c r="E7" s="9">
        <f>IF(C7=0,"-",(C7-D7)/C7)</f>
        <v/>
      </c>
      <c r="F7" s="6" t="n">
        <v>0</v>
      </c>
      <c r="G7" s="6" t="n">
        <v>0</v>
      </c>
      <c r="H7" s="6">
        <f>IF(F7=0,"OUT OF STOCK",IF(F7&lt;=G7,"LOW STOCK","OK"))</f>
        <v/>
      </c>
      <c r="I7" s="18">
        <f>IF(F7=0,"-",(D7/((F7+F7)/2)))</f>
        <v/>
      </c>
      <c r="J7" s="19">
        <f>IF(B7=0,"-",(F7/B7)*30)</f>
        <v/>
      </c>
    </row>
    <row r="8">
      <c r="A8" s="7" t="inlineStr">
        <is>
          <t>Smart Watches</t>
        </is>
      </c>
      <c r="B8" s="10" t="n">
        <v>0</v>
      </c>
      <c r="C8" s="10" t="n">
        <v>0</v>
      </c>
      <c r="D8" s="10" t="n">
        <v>0</v>
      </c>
      <c r="E8" s="11">
        <f>IF(C8=0,"-",(C8-D8)/C8)</f>
        <v/>
      </c>
      <c r="F8" s="10" t="n">
        <v>0</v>
      </c>
      <c r="G8" s="10" t="n">
        <v>0</v>
      </c>
      <c r="H8" s="7">
        <f>IF(F8=0,"OUT OF STOCK",IF(F8&lt;=G8,"LOW STOCK","OK"))</f>
        <v/>
      </c>
      <c r="I8" s="20">
        <f>IF(F8=0,"-",(D8/((F8+F8)/2)))</f>
        <v/>
      </c>
      <c r="J8" s="21">
        <f>IF(B8=0,"-",(F8/B8)*30)</f>
        <v/>
      </c>
    </row>
    <row r="9">
      <c r="A9" s="6" t="inlineStr">
        <is>
          <t>Chargers</t>
        </is>
      </c>
      <c r="B9" s="6" t="n">
        <v>0</v>
      </c>
      <c r="C9" s="6" t="n">
        <v>0</v>
      </c>
      <c r="D9" s="6" t="n">
        <v>0</v>
      </c>
      <c r="E9" s="9">
        <f>IF(C9=0,"-",(C9-D9)/C9)</f>
        <v/>
      </c>
      <c r="F9" s="6" t="n">
        <v>0</v>
      </c>
      <c r="G9" s="6" t="n">
        <v>0</v>
      </c>
      <c r="H9" s="6">
        <f>IF(F9=0,"OUT OF STOCK",IF(F9&lt;=G9,"LOW STOCK","OK"))</f>
        <v/>
      </c>
      <c r="I9" s="18">
        <f>IF(F9=0,"-",(D9/((F9+F9)/2)))</f>
        <v/>
      </c>
      <c r="J9" s="19">
        <f>IF(B9=0,"-",(F9/B9)*30)</f>
        <v/>
      </c>
    </row>
    <row r="10">
      <c r="A10" s="7" t="inlineStr">
        <is>
          <t>Car Chargers</t>
        </is>
      </c>
      <c r="B10" s="10" t="n">
        <v>0</v>
      </c>
      <c r="C10" s="10" t="n">
        <v>0</v>
      </c>
      <c r="D10" s="10" t="n">
        <v>0</v>
      </c>
      <c r="E10" s="11">
        <f>IF(C10=0,"-",(C10-D10)/C10)</f>
        <v/>
      </c>
      <c r="F10" s="10" t="n">
        <v>0</v>
      </c>
      <c r="G10" s="10" t="n">
        <v>0</v>
      </c>
      <c r="H10" s="7">
        <f>IF(F10=0,"OUT OF STOCK",IF(F10&lt;=G10,"LOW STOCK","OK"))</f>
        <v/>
      </c>
      <c r="I10" s="20">
        <f>IF(F10=0,"-",(D10/((F10+F10)/2)))</f>
        <v/>
      </c>
      <c r="J10" s="21">
        <f>IF(B10=0,"-",(F10/B10)*30)</f>
        <v/>
      </c>
    </row>
    <row r="11">
      <c r="A11" s="6" t="inlineStr">
        <is>
          <t>Headsets</t>
        </is>
      </c>
      <c r="B11" s="6" t="n">
        <v>0</v>
      </c>
      <c r="C11" s="6" t="n">
        <v>0</v>
      </c>
      <c r="D11" s="6" t="n">
        <v>0</v>
      </c>
      <c r="E11" s="9">
        <f>IF(C11=0,"-",(C11-D11)/C11)</f>
        <v/>
      </c>
      <c r="F11" s="6" t="n">
        <v>0</v>
      </c>
      <c r="G11" s="6" t="n">
        <v>0</v>
      </c>
      <c r="H11" s="6">
        <f>IF(F11=0,"OUT OF STOCK",IF(F11&lt;=G11,"LOW STOCK","OK"))</f>
        <v/>
      </c>
      <c r="I11" s="18">
        <f>IF(F11=0,"-",(D11/((F11+F11)/2)))</f>
        <v/>
      </c>
      <c r="J11" s="19">
        <f>IF(B11=0,"-",(F11/B11)*30)</f>
        <v/>
      </c>
    </row>
    <row r="12">
      <c r="A12" s="7" t="inlineStr">
        <is>
          <t>Ear Buds</t>
        </is>
      </c>
      <c r="B12" s="10" t="n">
        <v>0</v>
      </c>
      <c r="C12" s="10" t="n">
        <v>0</v>
      </c>
      <c r="D12" s="10" t="n">
        <v>0</v>
      </c>
      <c r="E12" s="11">
        <f>IF(C12=0,"-",(C12-D12)/C12)</f>
        <v/>
      </c>
      <c r="F12" s="10" t="n">
        <v>0</v>
      </c>
      <c r="G12" s="10" t="n">
        <v>0</v>
      </c>
      <c r="H12" s="7">
        <f>IF(F12=0,"OUT OF STOCK",IF(F12&lt;=G12,"LOW STOCK","OK"))</f>
        <v/>
      </c>
      <c r="I12" s="20">
        <f>IF(F12=0,"-",(D12/((F12+F12)/2)))</f>
        <v/>
      </c>
      <c r="J12" s="21">
        <f>IF(B12=0,"-",(F12/B12)*30)</f>
        <v/>
      </c>
    </row>
    <row r="13">
      <c r="A13" s="6" t="inlineStr">
        <is>
          <t>Phone Stands</t>
        </is>
      </c>
      <c r="B13" s="6" t="n">
        <v>0</v>
      </c>
      <c r="C13" s="6" t="n">
        <v>0</v>
      </c>
      <c r="D13" s="6" t="n">
        <v>0</v>
      </c>
      <c r="E13" s="9">
        <f>IF(C13=0,"-",(C13-D13)/C13)</f>
        <v/>
      </c>
      <c r="F13" s="6" t="n">
        <v>0</v>
      </c>
      <c r="G13" s="6" t="n">
        <v>0</v>
      </c>
      <c r="H13" s="6">
        <f>IF(F13=0,"OUT OF STOCK",IF(F13&lt;=G13,"LOW STOCK","OK"))</f>
        <v/>
      </c>
      <c r="I13" s="18">
        <f>IF(F13=0,"-",(D13/((F13+F13)/2)))</f>
        <v/>
      </c>
      <c r="J13" s="19">
        <f>IF(B13=0,"-",(F13/B13)*30)</f>
        <v/>
      </c>
    </row>
    <row r="14">
      <c r="A14" s="7" t="inlineStr">
        <is>
          <t>Phone Holders</t>
        </is>
      </c>
      <c r="B14" s="10" t="n">
        <v>0</v>
      </c>
      <c r="C14" s="10" t="n">
        <v>0</v>
      </c>
      <c r="D14" s="10" t="n">
        <v>0</v>
      </c>
      <c r="E14" s="11">
        <f>IF(C14=0,"-",(C14-D14)/C14)</f>
        <v/>
      </c>
      <c r="F14" s="10" t="n">
        <v>0</v>
      </c>
      <c r="G14" s="10" t="n">
        <v>0</v>
      </c>
      <c r="H14" s="7">
        <f>IF(F14=0,"OUT OF STOCK",IF(F14&lt;=G14,"LOW STOCK","OK"))</f>
        <v/>
      </c>
      <c r="I14" s="20">
        <f>IF(F14=0,"-",(D14/((F14+F14)/2)))</f>
        <v/>
      </c>
      <c r="J14" s="21">
        <f>IF(B14=0,"-",(F14/B14)*30)</f>
        <v/>
      </c>
    </row>
    <row r="15">
      <c r="A15" s="6" t="inlineStr">
        <is>
          <t>Tablet/Laptop Stands</t>
        </is>
      </c>
      <c r="B15" s="6" t="n">
        <v>0</v>
      </c>
      <c r="C15" s="6" t="n">
        <v>0</v>
      </c>
      <c r="D15" s="6" t="n">
        <v>0</v>
      </c>
      <c r="E15" s="9">
        <f>IF(C15=0,"-",(C15-D15)/C15)</f>
        <v/>
      </c>
      <c r="F15" s="6" t="n">
        <v>0</v>
      </c>
      <c r="G15" s="6" t="n">
        <v>0</v>
      </c>
      <c r="H15" s="6">
        <f>IF(F15=0,"OUT OF STOCK",IF(F15&lt;=G15,"LOW STOCK","OK"))</f>
        <v/>
      </c>
      <c r="I15" s="18">
        <f>IF(F15=0,"-",(D15/((F15+F15)/2)))</f>
        <v/>
      </c>
      <c r="J15" s="19">
        <f>IF(B15=0,"-",(F15/B15)*30)</f>
        <v/>
      </c>
    </row>
    <row r="16">
      <c r="A16" s="7" t="inlineStr">
        <is>
          <t>Rechargeable Hand Fans</t>
        </is>
      </c>
      <c r="B16" s="10" t="n">
        <v>0</v>
      </c>
      <c r="C16" s="10" t="n">
        <v>0</v>
      </c>
      <c r="D16" s="10" t="n">
        <v>0</v>
      </c>
      <c r="E16" s="11">
        <f>IF(C16=0,"-",(C16-D16)/C16)</f>
        <v/>
      </c>
      <c r="F16" s="10" t="n">
        <v>0</v>
      </c>
      <c r="G16" s="10" t="n">
        <v>0</v>
      </c>
      <c r="H16" s="7">
        <f>IF(F16=0,"OUT OF STOCK",IF(F16&lt;=G16,"LOW STOCK","OK"))</f>
        <v/>
      </c>
      <c r="I16" s="20">
        <f>IF(F16=0,"-",(D16/((F16+F16)/2)))</f>
        <v/>
      </c>
      <c r="J16" s="21">
        <f>IF(B16=0,"-",(F16/B16)*30)</f>
        <v/>
      </c>
    </row>
    <row r="17">
      <c r="A17" s="13" t="inlineStr">
        <is>
          <t>TOTAL</t>
        </is>
      </c>
      <c r="B17" s="13">
        <f>SUM(B5:B16)</f>
        <v/>
      </c>
      <c r="C17" s="13">
        <f>SUM(C5:C16)</f>
        <v/>
      </c>
      <c r="D17" s="13">
        <f>SUM(D5:D16)</f>
        <v/>
      </c>
      <c r="E17" s="14">
        <f>IF(C17=0,"-",(C17-D17)/C17)</f>
        <v/>
      </c>
      <c r="F17" s="13" t="n"/>
      <c r="G17" s="13" t="n"/>
      <c r="H17" s="13" t="n"/>
      <c r="I17" s="13" t="n"/>
      <c r="J17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GEOGRAPHIC PERFORMANCE BREAKDOWN</t>
        </is>
      </c>
    </row>
    <row r="2">
      <c r="A2" s="2" t="inlineStr">
        <is>
          <t>Lagos vs Abuja vs Port Harcourt - Market Analysis</t>
        </is>
      </c>
    </row>
    <row r="4">
      <c r="A4" s="5" t="inlineStr">
        <is>
          <t>Metric</t>
        </is>
      </c>
      <c r="B4" s="5" t="inlineStr">
        <is>
          <t>Lagos</t>
        </is>
      </c>
      <c r="C4" s="5" t="inlineStr">
        <is>
          <t>Abuja</t>
        </is>
      </c>
      <c r="D4" s="5" t="inlineStr">
        <is>
          <t>Port Harcourt</t>
        </is>
      </c>
      <c r="E4" s="5" t="inlineStr">
        <is>
          <t>Other</t>
        </is>
      </c>
      <c r="F4" s="5" t="inlineStr">
        <is>
          <t>Total</t>
        </is>
      </c>
    </row>
    <row r="5">
      <c r="A5" s="6" t="inlineStr">
        <is>
          <t>MTD Revenue (NGN)</t>
        </is>
      </c>
      <c r="B5" s="6" t="n">
        <v>0</v>
      </c>
      <c r="C5" s="6" t="n">
        <v>0</v>
      </c>
      <c r="D5" s="6" t="n">
        <v>0</v>
      </c>
      <c r="E5" s="6" t="n">
        <v>0</v>
      </c>
      <c r="F5" s="6">
        <f>SUM(B5:E5)</f>
        <v/>
      </c>
    </row>
    <row r="6">
      <c r="A6" s="7" t="inlineStr">
        <is>
          <t>YTD Revenue (NGN)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7">
        <f>SUM(B6:E6)</f>
        <v/>
      </c>
    </row>
    <row r="7">
      <c r="A7" s="6" t="inlineStr">
        <is>
          <t>Units Sold</t>
        </is>
      </c>
      <c r="B7" s="6" t="n">
        <v>0</v>
      </c>
      <c r="C7" s="6" t="n">
        <v>0</v>
      </c>
      <c r="D7" s="6" t="n">
        <v>0</v>
      </c>
      <c r="E7" s="6" t="n">
        <v>0</v>
      </c>
      <c r="F7" s="6">
        <f>SUM(B7:E7)</f>
        <v/>
      </c>
    </row>
    <row r="8">
      <c r="A8" s="7" t="inlineStr">
        <is>
          <t>Orders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7">
        <f>SUM(B8:E8)</f>
        <v/>
      </c>
    </row>
    <row r="9">
      <c r="A9" s="6" t="inlineStr">
        <is>
          <t>Average Order Value (NGN)</t>
        </is>
      </c>
      <c r="B9" s="6" t="n">
        <v>0</v>
      </c>
      <c r="C9" s="6" t="n">
        <v>0</v>
      </c>
      <c r="D9" s="6" t="n">
        <v>0</v>
      </c>
      <c r="E9" s="6" t="n">
        <v>0</v>
      </c>
      <c r="F9" s="6">
        <f>SUM(B9:E9)</f>
        <v/>
      </c>
    </row>
    <row r="10">
      <c r="A10" s="7" t="inlineStr">
        <is>
          <t>New Customers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7">
        <f>SUM(B10:E10)</f>
        <v/>
      </c>
    </row>
    <row r="11">
      <c r="A11" s="6" t="inlineStr">
        <is>
          <t>Returning Customers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>
        <f>SUM(B11:E11)</f>
        <v/>
      </c>
    </row>
    <row r="12">
      <c r="A12" s="7" t="inlineStr">
        <is>
          <t>Conversion Rate (%)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7">
        <f>SUM(B12:E12)</f>
        <v/>
      </c>
    </row>
    <row r="13">
      <c r="A13" s="6" t="inlineStr">
        <is>
          <t>Marketing Spend (NGN)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>
        <f>SUM(B13:E13)</f>
        <v/>
      </c>
    </row>
    <row r="14">
      <c r="A14" s="7" t="inlineStr">
        <is>
          <t>Customer Acquisition Cost (NGN)</t>
        </is>
      </c>
      <c r="B14" s="10" t="n">
        <v>0</v>
      </c>
      <c r="C14" s="10" t="n">
        <v>0</v>
      </c>
      <c r="D14" s="10" t="n">
        <v>0</v>
      </c>
      <c r="E14" s="10" t="n">
        <v>0</v>
      </c>
      <c r="F14" s="7">
        <f>SUM(B14:E14)</f>
        <v/>
      </c>
    </row>
    <row r="15">
      <c r="A15" s="6" t="inlineStr">
        <is>
          <t>Return Rate (%)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>
        <f>SUM(B15:E15)</f>
        <v/>
      </c>
    </row>
    <row r="16">
      <c r="A16" s="7" t="inlineStr">
        <is>
          <t>Top Selling Product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7">
        <f>SUM(B16:E16)</f>
        <v/>
      </c>
    </row>
    <row r="17">
      <c r="A17" s="6" t="inlineStr">
        <is>
          <t>Top Selling Channel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>
        <f>SUM(B17:E17)</f>
        <v/>
      </c>
    </row>
    <row r="18">
      <c r="A18" s="7" t="inlineStr">
        <is>
          <t>Population Est. (Millions)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7">
        <f>SUM(B18:E18)</f>
        <v/>
      </c>
    </row>
    <row r="19">
      <c r="A19" s="6" t="inlineStr">
        <is>
          <t>Revenue Per Capita (NGN)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>
        <f>SUM(B19:E19)</f>
        <v/>
      </c>
    </row>
    <row r="20">
      <c r="A20" s="7" t="inlineStr">
        <is>
          <t>Market Penetration (%)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7">
        <f>SUM(B20:E20)</f>
        <v/>
      </c>
    </row>
    <row r="23">
      <c r="A23" s="2" t="inlineStr">
        <is>
          <t>CITY COMPARISON SCORECARD</t>
        </is>
      </c>
    </row>
    <row r="24">
      <c r="A24" s="5" t="inlineStr">
        <is>
          <t>Factor (Weight)</t>
        </is>
      </c>
      <c r="B24" s="5" t="inlineStr">
        <is>
          <t>Lagos</t>
        </is>
      </c>
      <c r="C24" s="5" t="inlineStr">
        <is>
          <t>Abuja</t>
        </is>
      </c>
      <c r="D24" s="5" t="inlineStr">
        <is>
          <t>Port Harcourt</t>
        </is>
      </c>
    </row>
    <row r="25">
      <c r="A25" s="6" t="inlineStr">
        <is>
          <t>Population Size (25%)</t>
        </is>
      </c>
      <c r="B25" s="6" t="n">
        <v>0</v>
      </c>
      <c r="C25" s="6" t="n">
        <v>0</v>
      </c>
      <c r="D25" s="6" t="n">
        <v>0</v>
      </c>
    </row>
    <row r="26">
      <c r="A26" s="7" t="inlineStr">
        <is>
          <t>Internet Penetration (20%)</t>
        </is>
      </c>
      <c r="B26" s="10" t="n">
        <v>0</v>
      </c>
      <c r="C26" s="10" t="n">
        <v>0</v>
      </c>
      <c r="D26" s="10" t="n">
        <v>0</v>
      </c>
    </row>
    <row r="27">
      <c r="A27" s="6" t="inlineStr">
        <is>
          <t>E-commerce Adoption (20%)</t>
        </is>
      </c>
      <c r="B27" s="6" t="n">
        <v>0</v>
      </c>
      <c r="C27" s="6" t="n">
        <v>0</v>
      </c>
      <c r="D27" s="6" t="n">
        <v>0</v>
      </c>
    </row>
    <row r="28">
      <c r="A28" s="7" t="inlineStr">
        <is>
          <t>Average Income Level (15%)</t>
        </is>
      </c>
      <c r="B28" s="10" t="n">
        <v>0</v>
      </c>
      <c r="C28" s="10" t="n">
        <v>0</v>
      </c>
      <c r="D28" s="10" t="n">
        <v>0</v>
      </c>
    </row>
    <row r="29">
      <c r="A29" s="6" t="inlineStr">
        <is>
          <t>Competitive Intensity (10%)</t>
        </is>
      </c>
      <c r="B29" s="6" t="n">
        <v>0</v>
      </c>
      <c r="C29" s="6" t="n">
        <v>0</v>
      </c>
      <c r="D29" s="6" t="n">
        <v>0</v>
      </c>
    </row>
    <row r="30">
      <c r="A30" s="7" t="inlineStr">
        <is>
          <t>Logistics Infrastructure (10%)</t>
        </is>
      </c>
      <c r="B30" s="10" t="n">
        <v>0</v>
      </c>
      <c r="C30" s="10" t="n">
        <v>0</v>
      </c>
      <c r="D30" s="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0000"/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CAMPAIGN ATTRIBUTION TRACKER</t>
        </is>
      </c>
    </row>
    <row r="2">
      <c r="A2" s="2" t="inlineStr">
        <is>
          <t>Track Which Campaigns Drive Sales and Calculate ROI</t>
        </is>
      </c>
    </row>
    <row r="4">
      <c r="A4" s="5" t="inlineStr">
        <is>
          <t>Campaign</t>
        </is>
      </c>
      <c r="B4" s="5" t="inlineStr">
        <is>
          <t>Channel</t>
        </is>
      </c>
      <c r="C4" s="5" t="inlineStr">
        <is>
          <t>Start Date</t>
        </is>
      </c>
      <c r="D4" s="5" t="inlineStr">
        <is>
          <t>End Date</t>
        </is>
      </c>
      <c r="E4" s="5" t="inlineStr">
        <is>
          <t>Budget (NGN)</t>
        </is>
      </c>
      <c r="F4" s="5" t="inlineStr">
        <is>
          <t>Impressions</t>
        </is>
      </c>
      <c r="G4" s="5" t="inlineStr">
        <is>
          <t>Clicks</t>
        </is>
      </c>
      <c r="H4" s="5" t="inlineStr">
        <is>
          <t>CTR (%)</t>
        </is>
      </c>
      <c r="I4" s="5" t="inlineStr">
        <is>
          <t>Conversions</t>
        </is>
      </c>
      <c r="J4" s="5" t="inlineStr">
        <is>
          <t>Revenue (NGN)</t>
        </is>
      </c>
      <c r="K4" s="5" t="inlineStr">
        <is>
          <t>CAC (NGN)</t>
        </is>
      </c>
      <c r="L4" s="5" t="inlineStr">
        <is>
          <t>ROAS</t>
        </is>
      </c>
      <c r="M4" s="5" t="inlineStr">
        <is>
          <t>Status</t>
        </is>
      </c>
    </row>
    <row r="5">
      <c r="A5" s="6" t="inlineStr">
        <is>
          <t>Launch Campaign - Lagos</t>
        </is>
      </c>
      <c r="B5" s="6" t="inlineStr">
        <is>
          <t>Instagram Ads</t>
        </is>
      </c>
      <c r="C5" s="6" t="inlineStr"/>
      <c r="D5" s="6" t="inlineStr"/>
      <c r="E5" s="6" t="n">
        <v>0</v>
      </c>
      <c r="F5" s="6" t="n">
        <v>0</v>
      </c>
      <c r="G5" s="6" t="n">
        <v>0</v>
      </c>
      <c r="H5" s="9">
        <f>IF(F5=0,"-",G5/F5)</f>
        <v/>
      </c>
      <c r="I5" s="6" t="n">
        <v>0</v>
      </c>
      <c r="J5" s="6" t="n">
        <v>0</v>
      </c>
      <c r="K5" s="15">
        <f>IF(I5=0,"-",E5/I5)</f>
        <v/>
      </c>
      <c r="L5" s="18">
        <f>IF(E5=0,"-",J5/E5)</f>
        <v/>
      </c>
      <c r="M5" s="6" t="inlineStr">
        <is>
          <t>Planned</t>
        </is>
      </c>
    </row>
    <row r="6">
      <c r="A6" s="7" t="inlineStr">
        <is>
          <t>Launch Campaign - Abuja</t>
        </is>
      </c>
      <c r="B6" s="7" t="inlineStr">
        <is>
          <t>Facebook Ads</t>
        </is>
      </c>
      <c r="C6" s="7" t="inlineStr"/>
      <c r="D6" s="7" t="inlineStr"/>
      <c r="E6" s="10" t="n">
        <v>0</v>
      </c>
      <c r="F6" s="10" t="n">
        <v>0</v>
      </c>
      <c r="G6" s="10" t="n">
        <v>0</v>
      </c>
      <c r="H6" s="11">
        <f>IF(F6=0,"-",G6/F6)</f>
        <v/>
      </c>
      <c r="I6" s="10" t="n">
        <v>0</v>
      </c>
      <c r="J6" s="10" t="n">
        <v>0</v>
      </c>
      <c r="K6" s="16">
        <f>IF(I6=0,"-",E6/I6)</f>
        <v/>
      </c>
      <c r="L6" s="20">
        <f>IF(E6=0,"-",J6/E6)</f>
        <v/>
      </c>
      <c r="M6" s="7" t="inlineStr">
        <is>
          <t>Planned</t>
        </is>
      </c>
    </row>
    <row r="7">
      <c r="A7" s="6" t="inlineStr">
        <is>
          <t>Influencer - Tech Reviewers</t>
        </is>
      </c>
      <c r="B7" s="6" t="inlineStr">
        <is>
          <t>YouTube/TikTok</t>
        </is>
      </c>
      <c r="C7" s="6" t="inlineStr"/>
      <c r="D7" s="6" t="inlineStr"/>
      <c r="E7" s="6" t="n">
        <v>0</v>
      </c>
      <c r="F7" s="6" t="n">
        <v>0</v>
      </c>
      <c r="G7" s="6" t="n">
        <v>0</v>
      </c>
      <c r="H7" s="9">
        <f>IF(F7=0,"-",G7/F7)</f>
        <v/>
      </c>
      <c r="I7" s="6" t="n">
        <v>0</v>
      </c>
      <c r="J7" s="6" t="n">
        <v>0</v>
      </c>
      <c r="K7" s="15">
        <f>IF(I7=0,"-",E7/I7)</f>
        <v/>
      </c>
      <c r="L7" s="18">
        <f>IF(E7=0,"-",J7/E7)</f>
        <v/>
      </c>
      <c r="M7" s="6" t="inlineStr">
        <is>
          <t>Planned</t>
        </is>
      </c>
    </row>
    <row r="8">
      <c r="A8" s="7" t="inlineStr">
        <is>
          <t>Jumia Mega Sale</t>
        </is>
      </c>
      <c r="B8" s="7" t="inlineStr">
        <is>
          <t>Jumia Platform</t>
        </is>
      </c>
      <c r="C8" s="7" t="inlineStr"/>
      <c r="D8" s="7" t="inlineStr"/>
      <c r="E8" s="10" t="n">
        <v>0</v>
      </c>
      <c r="F8" s="10" t="n">
        <v>0</v>
      </c>
      <c r="G8" s="10" t="n">
        <v>0</v>
      </c>
      <c r="H8" s="11">
        <f>IF(F8=0,"-",G8/F8)</f>
        <v/>
      </c>
      <c r="I8" s="10" t="n">
        <v>0</v>
      </c>
      <c r="J8" s="10" t="n">
        <v>0</v>
      </c>
      <c r="K8" s="16">
        <f>IF(I8=0,"-",E8/I8)</f>
        <v/>
      </c>
      <c r="L8" s="20">
        <f>IF(E8=0,"-",J8/E8)</f>
        <v/>
      </c>
      <c r="M8" s="7" t="inlineStr">
        <is>
          <t>Planned</t>
        </is>
      </c>
    </row>
    <row r="9">
      <c r="A9" s="6" t="inlineStr">
        <is>
          <t>Konga Deal of the Day</t>
        </is>
      </c>
      <c r="B9" s="6" t="inlineStr">
        <is>
          <t>Konga Platform</t>
        </is>
      </c>
      <c r="C9" s="6" t="inlineStr"/>
      <c r="D9" s="6" t="inlineStr"/>
      <c r="E9" s="6" t="n">
        <v>0</v>
      </c>
      <c r="F9" s="6" t="n">
        <v>0</v>
      </c>
      <c r="G9" s="6" t="n">
        <v>0</v>
      </c>
      <c r="H9" s="9">
        <f>IF(F9=0,"-",G9/F9)</f>
        <v/>
      </c>
      <c r="I9" s="6" t="n">
        <v>0</v>
      </c>
      <c r="J9" s="6" t="n">
        <v>0</v>
      </c>
      <c r="K9" s="15">
        <f>IF(I9=0,"-",E9/I9)</f>
        <v/>
      </c>
      <c r="L9" s="18">
        <f>IF(E9=0,"-",J9/E9)</f>
        <v/>
      </c>
      <c r="M9" s="6" t="inlineStr">
        <is>
          <t>Planned</t>
        </is>
      </c>
    </row>
    <row r="10">
      <c r="A10" s="7" t="inlineStr">
        <is>
          <t>Google Ads - Brand</t>
        </is>
      </c>
      <c r="B10" s="7" t="inlineStr">
        <is>
          <t>Google Ads</t>
        </is>
      </c>
      <c r="C10" s="7" t="inlineStr"/>
      <c r="D10" s="7" t="inlineStr"/>
      <c r="E10" s="10" t="n">
        <v>0</v>
      </c>
      <c r="F10" s="10" t="n">
        <v>0</v>
      </c>
      <c r="G10" s="10" t="n">
        <v>0</v>
      </c>
      <c r="H10" s="11">
        <f>IF(F10=0,"-",G10/F10)</f>
        <v/>
      </c>
      <c r="I10" s="10" t="n">
        <v>0</v>
      </c>
      <c r="J10" s="10" t="n">
        <v>0</v>
      </c>
      <c r="K10" s="16">
        <f>IF(I10=0,"-",E10/I10)</f>
        <v/>
      </c>
      <c r="L10" s="20">
        <f>IF(E10=0,"-",J10/E10)</f>
        <v/>
      </c>
      <c r="M10" s="7" t="inlineStr">
        <is>
          <t>Planned</t>
        </is>
      </c>
    </row>
    <row r="11">
      <c r="A11" s="6" t="inlineStr">
        <is>
          <t>Retargeting Campaign</t>
        </is>
      </c>
      <c r="B11" s="6" t="inlineStr">
        <is>
          <t>Facebook/IG</t>
        </is>
      </c>
      <c r="C11" s="6" t="inlineStr"/>
      <c r="D11" s="6" t="inlineStr"/>
      <c r="E11" s="6" t="n">
        <v>0</v>
      </c>
      <c r="F11" s="6" t="n">
        <v>0</v>
      </c>
      <c r="G11" s="6" t="n">
        <v>0</v>
      </c>
      <c r="H11" s="9">
        <f>IF(F11=0,"-",G11/F11)</f>
        <v/>
      </c>
      <c r="I11" s="6" t="n">
        <v>0</v>
      </c>
      <c r="J11" s="6" t="n">
        <v>0</v>
      </c>
      <c r="K11" s="15">
        <f>IF(I11=0,"-",E11/I11)</f>
        <v/>
      </c>
      <c r="L11" s="18">
        <f>IF(E11=0,"-",J11/E11)</f>
        <v/>
      </c>
      <c r="M11" s="6" t="inlineStr">
        <is>
          <t>Planned</t>
        </is>
      </c>
    </row>
    <row r="12">
      <c r="A12" s="7" t="inlineStr">
        <is>
          <t>WhatsApp Marketing</t>
        </is>
      </c>
      <c r="B12" s="7" t="inlineStr">
        <is>
          <t>WhatsApp</t>
        </is>
      </c>
      <c r="C12" s="7" t="inlineStr"/>
      <c r="D12" s="7" t="inlineStr"/>
      <c r="E12" s="10" t="n">
        <v>0</v>
      </c>
      <c r="F12" s="10" t="n">
        <v>0</v>
      </c>
      <c r="G12" s="10" t="n">
        <v>0</v>
      </c>
      <c r="H12" s="11">
        <f>IF(F12=0,"-",G12/F12)</f>
        <v/>
      </c>
      <c r="I12" s="10" t="n">
        <v>0</v>
      </c>
      <c r="J12" s="10" t="n">
        <v>0</v>
      </c>
      <c r="K12" s="16">
        <f>IF(I12=0,"-",E12/I12)</f>
        <v/>
      </c>
      <c r="L12" s="20">
        <f>IF(E12=0,"-",J12/E12)</f>
        <v/>
      </c>
      <c r="M12" s="7" t="inlineStr">
        <is>
          <t>Planned</t>
        </is>
      </c>
    </row>
    <row r="13">
      <c r="A13" s="6" t="inlineStr">
        <is>
          <t>Email Blast - Launch</t>
        </is>
      </c>
      <c r="B13" s="6" t="inlineStr">
        <is>
          <t>Email</t>
        </is>
      </c>
      <c r="C13" s="6" t="inlineStr"/>
      <c r="D13" s="6" t="inlineStr"/>
      <c r="E13" s="6" t="n">
        <v>0</v>
      </c>
      <c r="F13" s="6" t="n">
        <v>0</v>
      </c>
      <c r="G13" s="6" t="n">
        <v>0</v>
      </c>
      <c r="H13" s="9">
        <f>IF(F13=0,"-",G13/F13)</f>
        <v/>
      </c>
      <c r="I13" s="6" t="n">
        <v>0</v>
      </c>
      <c r="J13" s="6" t="n">
        <v>0</v>
      </c>
      <c r="K13" s="15">
        <f>IF(I13=0,"-",E13/I13)</f>
        <v/>
      </c>
      <c r="L13" s="18">
        <f>IF(E13=0,"-",J13/E13)</f>
        <v/>
      </c>
      <c r="M13" s="6" t="inlineStr">
        <is>
          <t>Planned</t>
        </is>
      </c>
    </row>
    <row r="14">
      <c r="A14" s="7" t="inlineStr">
        <is>
          <t>Campus Ambassador</t>
        </is>
      </c>
      <c r="B14" s="7" t="inlineStr">
        <is>
          <t>Offline/Referral</t>
        </is>
      </c>
      <c r="C14" s="7" t="inlineStr"/>
      <c r="D14" s="7" t="inlineStr"/>
      <c r="E14" s="10" t="n">
        <v>0</v>
      </c>
      <c r="F14" s="10" t="n">
        <v>0</v>
      </c>
      <c r="G14" s="10" t="n">
        <v>0</v>
      </c>
      <c r="H14" s="11">
        <f>IF(F14=0,"-",G14/F14)</f>
        <v/>
      </c>
      <c r="I14" s="10" t="n">
        <v>0</v>
      </c>
      <c r="J14" s="10" t="n">
        <v>0</v>
      </c>
      <c r="K14" s="16">
        <f>IF(I14=0,"-",E14/I14)</f>
        <v/>
      </c>
      <c r="L14" s="20">
        <f>IF(E14=0,"-",J14/E14)</f>
        <v/>
      </c>
      <c r="M14" s="7" t="inlineStr">
        <is>
          <t>Planned</t>
        </is>
      </c>
    </row>
    <row r="15">
      <c r="A15" s="13" t="inlineStr">
        <is>
          <t>TOTAL</t>
        </is>
      </c>
      <c r="B15" s="13" t="n"/>
      <c r="C15" s="13" t="n"/>
      <c r="D15" s="13" t="n"/>
      <c r="E15" s="13">
        <f>SUM(E5:E14)</f>
        <v/>
      </c>
      <c r="F15" s="13">
        <f>SUM(F5:F14)</f>
        <v/>
      </c>
      <c r="G15" s="13">
        <f>SUM(G5:G14)</f>
        <v/>
      </c>
      <c r="H15" s="13" t="n"/>
      <c r="I15" s="13">
        <f>SUM(I5:I14)</f>
        <v/>
      </c>
      <c r="J15" s="13">
        <f>SUM(J5:J14)</f>
        <v/>
      </c>
      <c r="K15" s="13" t="n"/>
      <c r="L15" s="13" t="n"/>
      <c r="M15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F0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SALES FORECASTING MODEL</t>
        </is>
      </c>
    </row>
    <row r="2">
      <c r="A2" s="2" t="inlineStr">
        <is>
          <t>Monthly Projections, Seasonal Adjustments, Growth Assumptions</t>
        </is>
      </c>
    </row>
    <row r="4">
      <c r="A4" s="2" t="inlineStr">
        <is>
          <t>KEY ASSUMPTIONS</t>
        </is>
      </c>
    </row>
    <row r="5">
      <c r="A5" s="5" t="inlineStr">
        <is>
          <t>Assumption</t>
        </is>
      </c>
      <c r="B5" s="5" t="inlineStr">
        <is>
          <t>Value</t>
        </is>
      </c>
      <c r="C5" s="5" t="inlineStr">
        <is>
          <t>Notes</t>
        </is>
      </c>
    </row>
    <row r="6">
      <c r="A6" s="6" t="inlineStr">
        <is>
          <t>Month 1 Budget</t>
        </is>
      </c>
      <c r="B6" s="6" t="n">
        <v>17500000</v>
      </c>
      <c r="C6" s="6" t="inlineStr">
        <is>
          <t>Initial launch budget (NGN)</t>
        </is>
      </c>
    </row>
    <row r="7">
      <c r="A7" s="7" t="inlineStr">
        <is>
          <t>Ongoing Monthly Budget</t>
        </is>
      </c>
      <c r="B7" s="10" t="n">
        <v>6400000</v>
      </c>
      <c r="C7" s="7" t="inlineStr">
        <is>
          <t>After launch month (NGN)</t>
        </is>
      </c>
    </row>
    <row r="8">
      <c r="A8" s="6" t="inlineStr">
        <is>
          <t>Average Selling Price</t>
        </is>
      </c>
      <c r="B8" s="6" t="n">
        <v>12000</v>
      </c>
      <c r="C8" s="6" t="inlineStr">
        <is>
          <t>Blended across all products (NGN)</t>
        </is>
      </c>
    </row>
    <row r="9">
      <c r="A9" s="7" t="inlineStr">
        <is>
          <t>Month 1 Units Target</t>
        </is>
      </c>
      <c r="B9" s="10" t="n">
        <v>500</v>
      </c>
      <c r="C9" s="7" t="inlineStr">
        <is>
          <t>Conservative launch estimate</t>
        </is>
      </c>
    </row>
    <row r="10">
      <c r="A10" s="6" t="inlineStr">
        <is>
          <t>Monthly Growth Rate (M1-M3)</t>
        </is>
      </c>
      <c r="B10" s="6" t="inlineStr">
        <is>
          <t>30%</t>
        </is>
      </c>
      <c r="C10" s="6" t="inlineStr">
        <is>
          <t>Aggressive early growth</t>
        </is>
      </c>
    </row>
    <row r="11">
      <c r="A11" s="7" t="inlineStr">
        <is>
          <t>Monthly Growth Rate (M4-M6)</t>
        </is>
      </c>
      <c r="B11" s="10" t="inlineStr">
        <is>
          <t>20%</t>
        </is>
      </c>
      <c r="C11" s="7" t="inlineStr">
        <is>
          <t>Sustaining momentum</t>
        </is>
      </c>
    </row>
    <row r="12">
      <c r="A12" s="6" t="inlineStr">
        <is>
          <t>Monthly Growth Rate (M7-M12)</t>
        </is>
      </c>
      <c r="B12" s="6" t="inlineStr">
        <is>
          <t>15%</t>
        </is>
      </c>
      <c r="C12" s="6" t="inlineStr">
        <is>
          <t>Maturation phase</t>
        </is>
      </c>
    </row>
    <row r="13">
      <c r="A13" s="7" t="inlineStr">
        <is>
          <t>Return Rate</t>
        </is>
      </c>
      <c r="B13" s="10" t="inlineStr">
        <is>
          <t>5%</t>
        </is>
      </c>
      <c r="C13" s="7" t="inlineStr">
        <is>
          <t>Industry average for electronics</t>
        </is>
      </c>
    </row>
    <row r="14">
      <c r="A14" s="6" t="inlineStr">
        <is>
          <t>Website Conversion Rate</t>
        </is>
      </c>
      <c r="B14" s="6" t="inlineStr">
        <is>
          <t>2.5%</t>
        </is>
      </c>
      <c r="C14" s="6" t="inlineStr">
        <is>
          <t>E-commerce benchmark</t>
        </is>
      </c>
    </row>
    <row r="15">
      <c r="A15" s="7" t="inlineStr">
        <is>
          <t>Jumia/Konga Conversion Rate</t>
        </is>
      </c>
      <c r="B15" s="10" t="inlineStr">
        <is>
          <t>4%</t>
        </is>
      </c>
      <c r="C15" s="7" t="inlineStr">
        <is>
          <t>Marketplace typically higher</t>
        </is>
      </c>
    </row>
    <row r="16">
      <c r="A16" s="6" t="inlineStr">
        <is>
          <t>Average Order Value</t>
        </is>
      </c>
      <c r="B16" s="6" t="n">
        <v>12000</v>
      </c>
      <c r="C16" s="6" t="inlineStr">
        <is>
          <t>Blended AOV (NGN)</t>
        </is>
      </c>
    </row>
    <row r="17">
      <c r="A17" s="7" t="inlineStr">
        <is>
          <t>Customer Acquisition Cost</t>
        </is>
      </c>
      <c r="B17" s="10" t="n">
        <v>3500</v>
      </c>
      <c r="C17" s="7" t="inlineStr">
        <is>
          <t>Blended CAC (NGN)</t>
        </is>
      </c>
    </row>
    <row r="18">
      <c r="A18" s="6" t="inlineStr">
        <is>
          <t>Repeat Purchase Rate</t>
        </is>
      </c>
      <c r="B18" s="6" t="inlineStr">
        <is>
          <t>25%</t>
        </is>
      </c>
      <c r="C18" s="6" t="inlineStr">
        <is>
          <t>Target for Year 1</t>
        </is>
      </c>
    </row>
    <row r="20">
      <c r="A20" s="2" t="inlineStr">
        <is>
          <t>12-MONTH SALES FORECAST</t>
        </is>
      </c>
    </row>
    <row r="21">
      <c r="A21" s="5" t="inlineStr">
        <is>
          <t>Metric</t>
        </is>
      </c>
      <c r="B21" s="5" t="inlineStr">
        <is>
          <t>Month 1</t>
        </is>
      </c>
      <c r="C21" s="5" t="inlineStr">
        <is>
          <t>Month 2</t>
        </is>
      </c>
      <c r="D21" s="5" t="inlineStr">
        <is>
          <t>Month 3</t>
        </is>
      </c>
      <c r="E21" s="5" t="inlineStr">
        <is>
          <t>Month 4</t>
        </is>
      </c>
      <c r="F21" s="5" t="inlineStr">
        <is>
          <t>Month 5</t>
        </is>
      </c>
      <c r="G21" s="5" t="inlineStr">
        <is>
          <t>Month 6</t>
        </is>
      </c>
      <c r="H21" s="5" t="inlineStr">
        <is>
          <t>Month 7</t>
        </is>
      </c>
      <c r="I21" s="5" t="inlineStr">
        <is>
          <t>Month 8</t>
        </is>
      </c>
      <c r="J21" s="5" t="inlineStr">
        <is>
          <t>Month 9</t>
        </is>
      </c>
      <c r="K21" s="5" t="inlineStr">
        <is>
          <t>Month 10</t>
        </is>
      </c>
      <c r="L21" s="5" t="inlineStr">
        <is>
          <t>Month 11</t>
        </is>
      </c>
      <c r="M21" s="5" t="inlineStr">
        <is>
          <t>Month 12</t>
        </is>
      </c>
      <c r="N21" s="5" t="inlineStr">
        <is>
          <t>Annual Total</t>
        </is>
      </c>
    </row>
    <row r="22">
      <c r="A22" s="6" t="inlineStr">
        <is>
          <t>Units Sold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15">
        <f>SUM(B22:M22)</f>
        <v/>
      </c>
    </row>
    <row r="23">
      <c r="A23" s="7" t="inlineStr">
        <is>
          <t>Revenue (NGN)</t>
        </is>
      </c>
      <c r="B23" s="22" t="n">
        <v>0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0</v>
      </c>
      <c r="L23" s="22" t="n">
        <v>0</v>
      </c>
      <c r="M23" s="22" t="n">
        <v>0</v>
      </c>
      <c r="N23" s="22">
        <f>SUM(B23:M23)</f>
        <v/>
      </c>
    </row>
    <row r="24">
      <c r="A24" s="6" t="inlineStr">
        <is>
          <t>COGS (NGN)</t>
        </is>
      </c>
      <c r="B24" s="15" t="n">
        <v>0</v>
      </c>
      <c r="C24" s="15" t="n">
        <v>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0</v>
      </c>
      <c r="N24" s="15">
        <f>SUM(B24:M24)</f>
        <v/>
      </c>
    </row>
    <row r="25">
      <c r="A25" s="7" t="inlineStr">
        <is>
          <t>Gross Profit (NGN)</t>
        </is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2" t="n">
        <v>0</v>
      </c>
      <c r="M25" s="22" t="n">
        <v>0</v>
      </c>
      <c r="N25" s="22">
        <f>SUM(B25:M25)</f>
        <v/>
      </c>
    </row>
    <row r="26">
      <c r="A26" s="6" t="inlineStr">
        <is>
          <t>Marketing Spend (NGN)</t>
        </is>
      </c>
      <c r="B26" s="15" t="n">
        <v>0</v>
      </c>
      <c r="C26" s="15" t="n">
        <v>0</v>
      </c>
      <c r="D26" s="15" t="n">
        <v>0</v>
      </c>
      <c r="E26" s="15" t="n">
        <v>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0</v>
      </c>
      <c r="N26" s="15">
        <f>SUM(B26:M26)</f>
        <v/>
      </c>
    </row>
    <row r="27">
      <c r="A27" s="7" t="inlineStr">
        <is>
          <t>CAC Total (NGN)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</row>
    <row r="28">
      <c r="A28" s="6" t="inlineStr">
        <is>
          <t>Net Profit (NGN)</t>
        </is>
      </c>
      <c r="B28" s="15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0</v>
      </c>
      <c r="N28" s="15">
        <f>SUM(B28:M28)</f>
        <v/>
      </c>
    </row>
    <row r="29">
      <c r="A29" s="7" t="inlineStr">
        <is>
          <t>Cumulative Revenue</t>
        </is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>
        <f>SUM(B29:M29)</f>
        <v/>
      </c>
    </row>
    <row r="30">
      <c r="A30" s="6" t="inlineStr">
        <is>
          <t>Cumulative Profit</t>
        </is>
      </c>
      <c r="B30" s="15" t="n">
        <v>0</v>
      </c>
      <c r="C30" s="15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0</v>
      </c>
      <c r="N30" s="15">
        <f>SUM(B30:M30)</f>
        <v/>
      </c>
    </row>
    <row r="31">
      <c r="A31" s="13" t="inlineStr">
        <is>
          <t>SUMMARY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DAILY SALES TRANSACTION LOG</t>
        </is>
      </c>
    </row>
    <row r="2">
      <c r="A2" s="2" t="inlineStr">
        <is>
          <t>Record Every Transaction for Complete Audit Trail</t>
        </is>
      </c>
    </row>
    <row r="4">
      <c r="A4" s="5" t="inlineStr">
        <is>
          <t>Date</t>
        </is>
      </c>
      <c r="B4" s="5" t="inlineStr">
        <is>
          <t>Order ID</t>
        </is>
      </c>
      <c r="C4" s="5" t="inlineStr">
        <is>
          <t>Channel</t>
        </is>
      </c>
      <c r="D4" s="5" t="inlineStr">
        <is>
          <t>Product</t>
        </is>
      </c>
      <c r="E4" s="5" t="inlineStr">
        <is>
          <t>Quantity</t>
        </is>
      </c>
      <c r="F4" s="5" t="inlineStr">
        <is>
          <t>Unit Price (NGN)</t>
        </is>
      </c>
      <c r="G4" s="5" t="inlineStr">
        <is>
          <t>Total (NGN)</t>
        </is>
      </c>
      <c r="H4" s="5" t="inlineStr">
        <is>
          <t>Customer Name</t>
        </is>
      </c>
      <c r="I4" s="5" t="inlineStr">
        <is>
          <t>City</t>
        </is>
      </c>
      <c r="J4" s="5" t="inlineStr">
        <is>
          <t>Payment Method</t>
        </is>
      </c>
      <c r="K4" s="5" t="inlineStr">
        <is>
          <t>Campaign/Utm</t>
        </is>
      </c>
      <c r="L4" s="5" t="inlineStr">
        <is>
          <t>Status</t>
        </is>
      </c>
      <c r="M4" s="5" t="inlineStr">
        <is>
          <t>Notes</t>
        </is>
      </c>
    </row>
    <row r="5">
      <c r="A5" s="7" t="inlineStr">
        <is>
          <t>2026-08-25</t>
        </is>
      </c>
      <c r="B5" s="7" t="inlineStr">
        <is>
          <t>MK-00001</t>
        </is>
      </c>
      <c r="C5" s="7" t="inlineStr">
        <is>
          <t>Website</t>
        </is>
      </c>
      <c r="D5" s="7" t="inlineStr">
        <is>
          <t>Power Banks</t>
        </is>
      </c>
      <c r="E5" s="7" t="n">
        <v>2</v>
      </c>
      <c r="F5" s="7" t="n">
        <v>15000</v>
      </c>
      <c r="G5" s="7">
        <f>E5*F5</f>
        <v/>
      </c>
      <c r="H5" s="7" t="inlineStr">
        <is>
          <t>Adebayo Johnson</t>
        </is>
      </c>
      <c r="I5" s="7" t="inlineStr">
        <is>
          <t>Lagos</t>
        </is>
      </c>
      <c r="J5" s="7" t="inlineStr">
        <is>
          <t>Card</t>
        </is>
      </c>
      <c r="K5" s="7" t="inlineStr">
        <is>
          <t>ig_launch_01</t>
        </is>
      </c>
      <c r="L5" s="7" t="inlineStr">
        <is>
          <t>Delivered</t>
        </is>
      </c>
      <c r="M5" s="7" t="inlineStr"/>
    </row>
    <row r="6">
      <c r="A6" s="23" t="inlineStr"/>
      <c r="B6" s="23" t="n"/>
      <c r="C6" s="23" t="n"/>
      <c r="D6" s="23" t="n"/>
      <c r="E6" s="23" t="n"/>
      <c r="F6" s="23" t="n"/>
      <c r="G6" s="24">
        <f>IF(E6="","",E6*F6)</f>
        <v/>
      </c>
      <c r="H6" s="23" t="n"/>
      <c r="I6" s="23" t="n"/>
      <c r="J6" s="23" t="n"/>
      <c r="K6" s="23" t="n"/>
      <c r="L6" s="23" t="n"/>
      <c r="M6" s="23" t="n"/>
    </row>
    <row r="7">
      <c r="A7" s="23" t="inlineStr"/>
      <c r="B7" s="23" t="n"/>
      <c r="C7" s="23" t="n"/>
      <c r="D7" s="23" t="n"/>
      <c r="E7" s="23" t="n"/>
      <c r="F7" s="23" t="n"/>
      <c r="G7" s="24">
        <f>IF(E7="","",E7*F7)</f>
        <v/>
      </c>
      <c r="H7" s="23" t="n"/>
      <c r="I7" s="23" t="n"/>
      <c r="J7" s="23" t="n"/>
      <c r="K7" s="23" t="n"/>
      <c r="L7" s="23" t="n"/>
      <c r="M7" s="23" t="n"/>
    </row>
    <row r="8">
      <c r="A8" s="23" t="inlineStr"/>
      <c r="B8" s="23" t="n"/>
      <c r="C8" s="23" t="n"/>
      <c r="D8" s="23" t="n"/>
      <c r="E8" s="23" t="n"/>
      <c r="F8" s="23" t="n"/>
      <c r="G8" s="24">
        <f>IF(E8="","",E8*F8)</f>
        <v/>
      </c>
      <c r="H8" s="23" t="n"/>
      <c r="I8" s="23" t="n"/>
      <c r="J8" s="23" t="n"/>
      <c r="K8" s="23" t="n"/>
      <c r="L8" s="23" t="n"/>
      <c r="M8" s="23" t="n"/>
    </row>
    <row r="9">
      <c r="A9" s="23" t="inlineStr"/>
      <c r="B9" s="23" t="n"/>
      <c r="C9" s="23" t="n"/>
      <c r="D9" s="23" t="n"/>
      <c r="E9" s="23" t="n"/>
      <c r="F9" s="23" t="n"/>
      <c r="G9" s="24">
        <f>IF(E9="","",E9*F9)</f>
        <v/>
      </c>
      <c r="H9" s="23" t="n"/>
      <c r="I9" s="23" t="n"/>
      <c r="J9" s="23" t="n"/>
      <c r="K9" s="23" t="n"/>
      <c r="L9" s="23" t="n"/>
      <c r="M9" s="23" t="n"/>
    </row>
    <row r="10">
      <c r="A10" s="23" t="inlineStr"/>
      <c r="B10" s="23" t="n"/>
      <c r="C10" s="23" t="n"/>
      <c r="D10" s="23" t="n"/>
      <c r="E10" s="23" t="n"/>
      <c r="F10" s="23" t="n"/>
      <c r="G10" s="24">
        <f>IF(E10="","",E10*F10)</f>
        <v/>
      </c>
      <c r="H10" s="23" t="n"/>
      <c r="I10" s="23" t="n"/>
      <c r="J10" s="23" t="n"/>
      <c r="K10" s="23" t="n"/>
      <c r="L10" s="23" t="n"/>
      <c r="M10" s="23" t="n"/>
    </row>
    <row r="11">
      <c r="A11" s="23" t="inlineStr"/>
      <c r="B11" s="23" t="n"/>
      <c r="C11" s="23" t="n"/>
      <c r="D11" s="23" t="n"/>
      <c r="E11" s="23" t="n"/>
      <c r="F11" s="23" t="n"/>
      <c r="G11" s="24">
        <f>IF(E11="","",E11*F11)</f>
        <v/>
      </c>
      <c r="H11" s="23" t="n"/>
      <c r="I11" s="23" t="n"/>
      <c r="J11" s="23" t="n"/>
      <c r="K11" s="23" t="n"/>
      <c r="L11" s="23" t="n"/>
      <c r="M11" s="23" t="n"/>
    </row>
    <row r="12">
      <c r="A12" s="23" t="inlineStr"/>
      <c r="B12" s="23" t="n"/>
      <c r="C12" s="23" t="n"/>
      <c r="D12" s="23" t="n"/>
      <c r="E12" s="23" t="n"/>
      <c r="F12" s="23" t="n"/>
      <c r="G12" s="24">
        <f>IF(E12="","",E12*F12)</f>
        <v/>
      </c>
      <c r="H12" s="23" t="n"/>
      <c r="I12" s="23" t="n"/>
      <c r="J12" s="23" t="n"/>
      <c r="K12" s="23" t="n"/>
      <c r="L12" s="23" t="n"/>
      <c r="M12" s="23" t="n"/>
    </row>
    <row r="13">
      <c r="A13" s="23" t="inlineStr"/>
      <c r="B13" s="23" t="n"/>
      <c r="C13" s="23" t="n"/>
      <c r="D13" s="23" t="n"/>
      <c r="E13" s="23" t="n"/>
      <c r="F13" s="23" t="n"/>
      <c r="G13" s="24">
        <f>IF(E13="","",E13*F13)</f>
        <v/>
      </c>
      <c r="H13" s="23" t="n"/>
      <c r="I13" s="23" t="n"/>
      <c r="J13" s="23" t="n"/>
      <c r="K13" s="23" t="n"/>
      <c r="L13" s="23" t="n"/>
      <c r="M13" s="23" t="n"/>
    </row>
    <row r="14">
      <c r="A14" s="23" t="inlineStr"/>
      <c r="B14" s="23" t="n"/>
      <c r="C14" s="23" t="n"/>
      <c r="D14" s="23" t="n"/>
      <c r="E14" s="23" t="n"/>
      <c r="F14" s="23" t="n"/>
      <c r="G14" s="24">
        <f>IF(E14="","",E14*F14)</f>
        <v/>
      </c>
      <c r="H14" s="23" t="n"/>
      <c r="I14" s="23" t="n"/>
      <c r="J14" s="23" t="n"/>
      <c r="K14" s="23" t="n"/>
      <c r="L14" s="23" t="n"/>
      <c r="M14" s="23" t="n"/>
    </row>
    <row r="15">
      <c r="A15" s="23" t="inlineStr"/>
      <c r="B15" s="23" t="n"/>
      <c r="C15" s="23" t="n"/>
      <c r="D15" s="23" t="n"/>
      <c r="E15" s="23" t="n"/>
      <c r="F15" s="23" t="n"/>
      <c r="G15" s="24">
        <f>IF(E15="","",E15*F15)</f>
        <v/>
      </c>
      <c r="H15" s="23" t="n"/>
      <c r="I15" s="23" t="n"/>
      <c r="J15" s="23" t="n"/>
      <c r="K15" s="23" t="n"/>
      <c r="L15" s="23" t="n"/>
      <c r="M15" s="23" t="n"/>
    </row>
    <row r="16">
      <c r="A16" s="23" t="inlineStr"/>
      <c r="B16" s="23" t="n"/>
      <c r="C16" s="23" t="n"/>
      <c r="D16" s="23" t="n"/>
      <c r="E16" s="23" t="n"/>
      <c r="F16" s="23" t="n"/>
      <c r="G16" s="24">
        <f>IF(E16="","",E16*F16)</f>
        <v/>
      </c>
      <c r="H16" s="23" t="n"/>
      <c r="I16" s="23" t="n"/>
      <c r="J16" s="23" t="n"/>
      <c r="K16" s="23" t="n"/>
      <c r="L16" s="23" t="n"/>
      <c r="M16" s="23" t="n"/>
    </row>
    <row r="17">
      <c r="A17" s="23" t="inlineStr"/>
      <c r="B17" s="23" t="n"/>
      <c r="C17" s="23" t="n"/>
      <c r="D17" s="23" t="n"/>
      <c r="E17" s="23" t="n"/>
      <c r="F17" s="23" t="n"/>
      <c r="G17" s="24">
        <f>IF(E17="","",E17*F17)</f>
        <v/>
      </c>
      <c r="H17" s="23" t="n"/>
      <c r="I17" s="23" t="n"/>
      <c r="J17" s="23" t="n"/>
      <c r="K17" s="23" t="n"/>
      <c r="L17" s="23" t="n"/>
      <c r="M17" s="23" t="n"/>
    </row>
    <row r="18">
      <c r="A18" s="23" t="inlineStr"/>
      <c r="B18" s="23" t="n"/>
      <c r="C18" s="23" t="n"/>
      <c r="D18" s="23" t="n"/>
      <c r="E18" s="23" t="n"/>
      <c r="F18" s="23" t="n"/>
      <c r="G18" s="24">
        <f>IF(E18="","",E18*F18)</f>
        <v/>
      </c>
      <c r="H18" s="23" t="n"/>
      <c r="I18" s="23" t="n"/>
      <c r="J18" s="23" t="n"/>
      <c r="K18" s="23" t="n"/>
      <c r="L18" s="23" t="n"/>
      <c r="M18" s="23" t="n"/>
    </row>
    <row r="19">
      <c r="A19" s="23" t="inlineStr"/>
      <c r="B19" s="23" t="n"/>
      <c r="C19" s="23" t="n"/>
      <c r="D19" s="23" t="n"/>
      <c r="E19" s="23" t="n"/>
      <c r="F19" s="23" t="n"/>
      <c r="G19" s="24">
        <f>IF(E19="","",E19*F19)</f>
        <v/>
      </c>
      <c r="H19" s="23" t="n"/>
      <c r="I19" s="23" t="n"/>
      <c r="J19" s="23" t="n"/>
      <c r="K19" s="23" t="n"/>
      <c r="L19" s="23" t="n"/>
      <c r="M19" s="23" t="n"/>
    </row>
    <row r="20">
      <c r="A20" s="23" t="inlineStr"/>
      <c r="B20" s="23" t="n"/>
      <c r="C20" s="23" t="n"/>
      <c r="D20" s="23" t="n"/>
      <c r="E20" s="23" t="n"/>
      <c r="F20" s="23" t="n"/>
      <c r="G20" s="24">
        <f>IF(E20="","",E20*F20)</f>
        <v/>
      </c>
      <c r="H20" s="23" t="n"/>
      <c r="I20" s="23" t="n"/>
      <c r="J20" s="23" t="n"/>
      <c r="K20" s="23" t="n"/>
      <c r="L20" s="23" t="n"/>
      <c r="M20" s="23" t="n"/>
    </row>
    <row r="21">
      <c r="A21" s="23" t="inlineStr"/>
      <c r="B21" s="23" t="n"/>
      <c r="C21" s="23" t="n"/>
      <c r="D21" s="23" t="n"/>
      <c r="E21" s="23" t="n"/>
      <c r="F21" s="23" t="n"/>
      <c r="G21" s="24">
        <f>IF(E21="","",E21*F21)</f>
        <v/>
      </c>
      <c r="H21" s="23" t="n"/>
      <c r="I21" s="23" t="n"/>
      <c r="J21" s="23" t="n"/>
      <c r="K21" s="23" t="n"/>
      <c r="L21" s="23" t="n"/>
      <c r="M21" s="23" t="n"/>
    </row>
    <row r="22">
      <c r="A22" s="23" t="inlineStr"/>
      <c r="B22" s="23" t="n"/>
      <c r="C22" s="23" t="n"/>
      <c r="D22" s="23" t="n"/>
      <c r="E22" s="23" t="n"/>
      <c r="F22" s="23" t="n"/>
      <c r="G22" s="24">
        <f>IF(E22="","",E22*F22)</f>
        <v/>
      </c>
      <c r="H22" s="23" t="n"/>
      <c r="I22" s="23" t="n"/>
      <c r="J22" s="23" t="n"/>
      <c r="K22" s="23" t="n"/>
      <c r="L22" s="23" t="n"/>
      <c r="M22" s="23" t="n"/>
    </row>
    <row r="23">
      <c r="A23" s="23" t="inlineStr"/>
      <c r="B23" s="23" t="n"/>
      <c r="C23" s="23" t="n"/>
      <c r="D23" s="23" t="n"/>
      <c r="E23" s="23" t="n"/>
      <c r="F23" s="23" t="n"/>
      <c r="G23" s="24">
        <f>IF(E23="","",E23*F23)</f>
        <v/>
      </c>
      <c r="H23" s="23" t="n"/>
      <c r="I23" s="23" t="n"/>
      <c r="J23" s="23" t="n"/>
      <c r="K23" s="23" t="n"/>
      <c r="L23" s="23" t="n"/>
      <c r="M23" s="23" t="n"/>
    </row>
    <row r="24">
      <c r="A24" s="23" t="inlineStr"/>
      <c r="B24" s="23" t="n"/>
      <c r="C24" s="23" t="n"/>
      <c r="D24" s="23" t="n"/>
      <c r="E24" s="23" t="n"/>
      <c r="F24" s="23" t="n"/>
      <c r="G24" s="24">
        <f>IF(E24="","",E24*F24)</f>
        <v/>
      </c>
      <c r="H24" s="23" t="n"/>
      <c r="I24" s="23" t="n"/>
      <c r="J24" s="23" t="n"/>
      <c r="K24" s="23" t="n"/>
      <c r="L24" s="23" t="n"/>
      <c r="M24" s="23" t="n"/>
    </row>
    <row r="25">
      <c r="A25" s="23" t="inlineStr"/>
      <c r="B25" s="23" t="n"/>
      <c r="C25" s="23" t="n"/>
      <c r="D25" s="23" t="n"/>
      <c r="E25" s="23" t="n"/>
      <c r="F25" s="23" t="n"/>
      <c r="G25" s="24">
        <f>IF(E25="","",E25*F25)</f>
        <v/>
      </c>
      <c r="H25" s="23" t="n"/>
      <c r="I25" s="23" t="n"/>
      <c r="J25" s="23" t="n"/>
      <c r="K25" s="23" t="n"/>
      <c r="L25" s="23" t="n"/>
      <c r="M25" s="23" t="n"/>
    </row>
    <row r="26">
      <c r="A26" s="23" t="inlineStr"/>
      <c r="B26" s="23" t="n"/>
      <c r="C26" s="23" t="n"/>
      <c r="D26" s="23" t="n"/>
      <c r="E26" s="23" t="n"/>
      <c r="F26" s="23" t="n"/>
      <c r="G26" s="24">
        <f>IF(E26="","",E26*F26)</f>
        <v/>
      </c>
      <c r="H26" s="23" t="n"/>
      <c r="I26" s="23" t="n"/>
      <c r="J26" s="23" t="n"/>
      <c r="K26" s="23" t="n"/>
      <c r="L26" s="23" t="n"/>
      <c r="M26" s="23" t="n"/>
    </row>
    <row r="27">
      <c r="A27" s="23" t="inlineStr"/>
      <c r="B27" s="23" t="n"/>
      <c r="C27" s="23" t="n"/>
      <c r="D27" s="23" t="n"/>
      <c r="E27" s="23" t="n"/>
      <c r="F27" s="23" t="n"/>
      <c r="G27" s="24">
        <f>IF(E27="","",E27*F27)</f>
        <v/>
      </c>
      <c r="H27" s="23" t="n"/>
      <c r="I27" s="23" t="n"/>
      <c r="J27" s="23" t="n"/>
      <c r="K27" s="23" t="n"/>
      <c r="L27" s="23" t="n"/>
      <c r="M27" s="23" t="n"/>
    </row>
    <row r="28">
      <c r="A28" s="23" t="inlineStr"/>
      <c r="B28" s="23" t="n"/>
      <c r="C28" s="23" t="n"/>
      <c r="D28" s="23" t="n"/>
      <c r="E28" s="23" t="n"/>
      <c r="F28" s="23" t="n"/>
      <c r="G28" s="24">
        <f>IF(E28="","",E28*F28)</f>
        <v/>
      </c>
      <c r="H28" s="23" t="n"/>
      <c r="I28" s="23" t="n"/>
      <c r="J28" s="23" t="n"/>
      <c r="K28" s="23" t="n"/>
      <c r="L28" s="23" t="n"/>
      <c r="M28" s="23" t="n"/>
    </row>
    <row r="29">
      <c r="A29" s="23" t="inlineStr"/>
      <c r="B29" s="23" t="n"/>
      <c r="C29" s="23" t="n"/>
      <c r="D29" s="23" t="n"/>
      <c r="E29" s="23" t="n"/>
      <c r="F29" s="23" t="n"/>
      <c r="G29" s="24">
        <f>IF(E29="","",E29*F29)</f>
        <v/>
      </c>
      <c r="H29" s="23" t="n"/>
      <c r="I29" s="23" t="n"/>
      <c r="J29" s="23" t="n"/>
      <c r="K29" s="23" t="n"/>
      <c r="L29" s="23" t="n"/>
      <c r="M29" s="23" t="n"/>
    </row>
    <row r="30">
      <c r="A30" s="23" t="inlineStr"/>
      <c r="B30" s="23" t="n"/>
      <c r="C30" s="23" t="n"/>
      <c r="D30" s="23" t="n"/>
      <c r="E30" s="23" t="n"/>
      <c r="F30" s="23" t="n"/>
      <c r="G30" s="24">
        <f>IF(E30="","",E30*F30)</f>
        <v/>
      </c>
      <c r="H30" s="23" t="n"/>
      <c r="I30" s="23" t="n"/>
      <c r="J30" s="23" t="n"/>
      <c r="K30" s="23" t="n"/>
      <c r="L30" s="23" t="n"/>
      <c r="M30" s="23" t="n"/>
    </row>
    <row r="31">
      <c r="A31" s="23" t="inlineStr"/>
      <c r="B31" s="23" t="n"/>
      <c r="C31" s="23" t="n"/>
      <c r="D31" s="23" t="n"/>
      <c r="E31" s="23" t="n"/>
      <c r="F31" s="23" t="n"/>
      <c r="G31" s="24">
        <f>IF(E31="","",E31*F31)</f>
        <v/>
      </c>
      <c r="H31" s="23" t="n"/>
      <c r="I31" s="23" t="n"/>
      <c r="J31" s="23" t="n"/>
      <c r="K31" s="23" t="n"/>
      <c r="L31" s="23" t="n"/>
      <c r="M31" s="23" t="n"/>
    </row>
    <row r="32">
      <c r="A32" s="23" t="inlineStr"/>
      <c r="B32" s="23" t="n"/>
      <c r="C32" s="23" t="n"/>
      <c r="D32" s="23" t="n"/>
      <c r="E32" s="23" t="n"/>
      <c r="F32" s="23" t="n"/>
      <c r="G32" s="24">
        <f>IF(E32="","",E32*F32)</f>
        <v/>
      </c>
      <c r="H32" s="23" t="n"/>
      <c r="I32" s="23" t="n"/>
      <c r="J32" s="23" t="n"/>
      <c r="K32" s="23" t="n"/>
      <c r="L32" s="23" t="n"/>
      <c r="M32" s="23" t="n"/>
    </row>
    <row r="33">
      <c r="A33" s="23" t="inlineStr"/>
      <c r="B33" s="23" t="n"/>
      <c r="C33" s="23" t="n"/>
      <c r="D33" s="23" t="n"/>
      <c r="E33" s="23" t="n"/>
      <c r="F33" s="23" t="n"/>
      <c r="G33" s="24">
        <f>IF(E33="","",E33*F33)</f>
        <v/>
      </c>
      <c r="H33" s="23" t="n"/>
      <c r="I33" s="23" t="n"/>
      <c r="J33" s="23" t="n"/>
      <c r="K33" s="23" t="n"/>
      <c r="L33" s="23" t="n"/>
      <c r="M33" s="23" t="n"/>
    </row>
    <row r="34">
      <c r="A34" s="23" t="inlineStr"/>
      <c r="B34" s="23" t="n"/>
      <c r="C34" s="23" t="n"/>
      <c r="D34" s="23" t="n"/>
      <c r="E34" s="23" t="n"/>
      <c r="F34" s="23" t="n"/>
      <c r="G34" s="24">
        <f>IF(E34="","",E34*F34)</f>
        <v/>
      </c>
      <c r="H34" s="23" t="n"/>
      <c r="I34" s="23" t="n"/>
      <c r="J34" s="23" t="n"/>
      <c r="K34" s="23" t="n"/>
      <c r="L34" s="23" t="n"/>
      <c r="M34" s="23" t="n"/>
    </row>
    <row r="35">
      <c r="A35" s="23" t="inlineStr"/>
      <c r="B35" s="23" t="n"/>
      <c r="C35" s="23" t="n"/>
      <c r="D35" s="23" t="n"/>
      <c r="E35" s="23" t="n"/>
      <c r="F35" s="23" t="n"/>
      <c r="G35" s="24">
        <f>IF(E35="","",E35*F35)</f>
        <v/>
      </c>
      <c r="H35" s="23" t="n"/>
      <c r="I35" s="23" t="n"/>
      <c r="J35" s="23" t="n"/>
      <c r="K35" s="23" t="n"/>
      <c r="L35" s="23" t="n"/>
      <c r="M35" s="23" t="n"/>
    </row>
    <row r="36">
      <c r="A36" s="23" t="inlineStr"/>
      <c r="B36" s="23" t="n"/>
      <c r="C36" s="23" t="n"/>
      <c r="D36" s="23" t="n"/>
      <c r="E36" s="23" t="n"/>
      <c r="F36" s="23" t="n"/>
      <c r="G36" s="24">
        <f>IF(E36="","",E36*F36)</f>
        <v/>
      </c>
      <c r="H36" s="23" t="n"/>
      <c r="I36" s="23" t="n"/>
      <c r="J36" s="23" t="n"/>
      <c r="K36" s="23" t="n"/>
      <c r="L36" s="23" t="n"/>
      <c r="M36" s="23" t="n"/>
    </row>
    <row r="37">
      <c r="A37" s="23" t="inlineStr"/>
      <c r="B37" s="23" t="n"/>
      <c r="C37" s="23" t="n"/>
      <c r="D37" s="23" t="n"/>
      <c r="E37" s="23" t="n"/>
      <c r="F37" s="23" t="n"/>
      <c r="G37" s="24">
        <f>IF(E37="","",E37*F37)</f>
        <v/>
      </c>
      <c r="H37" s="23" t="n"/>
      <c r="I37" s="23" t="n"/>
      <c r="J37" s="23" t="n"/>
      <c r="K37" s="23" t="n"/>
      <c r="L37" s="23" t="n"/>
      <c r="M37" s="23" t="n"/>
    </row>
    <row r="38">
      <c r="A38" s="23" t="inlineStr"/>
      <c r="B38" s="23" t="n"/>
      <c r="C38" s="23" t="n"/>
      <c r="D38" s="23" t="n"/>
      <c r="E38" s="23" t="n"/>
      <c r="F38" s="23" t="n"/>
      <c r="G38" s="24">
        <f>IF(E38="","",E38*F38)</f>
        <v/>
      </c>
      <c r="H38" s="23" t="n"/>
      <c r="I38" s="23" t="n"/>
      <c r="J38" s="23" t="n"/>
      <c r="K38" s="23" t="n"/>
      <c r="L38" s="23" t="n"/>
      <c r="M38" s="23" t="n"/>
    </row>
    <row r="39">
      <c r="A39" s="23" t="inlineStr"/>
      <c r="B39" s="23" t="n"/>
      <c r="C39" s="23" t="n"/>
      <c r="D39" s="23" t="n"/>
      <c r="E39" s="23" t="n"/>
      <c r="F39" s="23" t="n"/>
      <c r="G39" s="24">
        <f>IF(E39="","",E39*F39)</f>
        <v/>
      </c>
      <c r="H39" s="23" t="n"/>
      <c r="I39" s="23" t="n"/>
      <c r="J39" s="23" t="n"/>
      <c r="K39" s="23" t="n"/>
      <c r="L39" s="23" t="n"/>
      <c r="M39" s="23" t="n"/>
    </row>
    <row r="40">
      <c r="A40" s="23" t="inlineStr"/>
      <c r="B40" s="23" t="n"/>
      <c r="C40" s="23" t="n"/>
      <c r="D40" s="23" t="n"/>
      <c r="E40" s="23" t="n"/>
      <c r="F40" s="23" t="n"/>
      <c r="G40" s="24">
        <f>IF(E40="","",E40*F40)</f>
        <v/>
      </c>
      <c r="H40" s="23" t="n"/>
      <c r="I40" s="23" t="n"/>
      <c r="J40" s="23" t="n"/>
      <c r="K40" s="23" t="n"/>
      <c r="L40" s="23" t="n"/>
      <c r="M40" s="23" t="n"/>
    </row>
    <row r="41">
      <c r="A41" s="23" t="inlineStr"/>
      <c r="B41" s="23" t="n"/>
      <c r="C41" s="23" t="n"/>
      <c r="D41" s="23" t="n"/>
      <c r="E41" s="23" t="n"/>
      <c r="F41" s="23" t="n"/>
      <c r="G41" s="24">
        <f>IF(E41="","",E41*F41)</f>
        <v/>
      </c>
      <c r="H41" s="23" t="n"/>
      <c r="I41" s="23" t="n"/>
      <c r="J41" s="23" t="n"/>
      <c r="K41" s="23" t="n"/>
      <c r="L41" s="23" t="n"/>
      <c r="M41" s="23" t="n"/>
    </row>
    <row r="42">
      <c r="A42" s="23" t="inlineStr"/>
      <c r="B42" s="23" t="n"/>
      <c r="C42" s="23" t="n"/>
      <c r="D42" s="23" t="n"/>
      <c r="E42" s="23" t="n"/>
      <c r="F42" s="23" t="n"/>
      <c r="G42" s="24">
        <f>IF(E42="","",E42*F42)</f>
        <v/>
      </c>
      <c r="H42" s="23" t="n"/>
      <c r="I42" s="23" t="n"/>
      <c r="J42" s="23" t="n"/>
      <c r="K42" s="23" t="n"/>
      <c r="L42" s="23" t="n"/>
      <c r="M42" s="23" t="n"/>
    </row>
    <row r="43">
      <c r="A43" s="23" t="inlineStr"/>
      <c r="B43" s="23" t="n"/>
      <c r="C43" s="23" t="n"/>
      <c r="D43" s="23" t="n"/>
      <c r="E43" s="23" t="n"/>
      <c r="F43" s="23" t="n"/>
      <c r="G43" s="24">
        <f>IF(E43="","",E43*F43)</f>
        <v/>
      </c>
      <c r="H43" s="23" t="n"/>
      <c r="I43" s="23" t="n"/>
      <c r="J43" s="23" t="n"/>
      <c r="K43" s="23" t="n"/>
      <c r="L43" s="23" t="n"/>
      <c r="M43" s="23" t="n"/>
    </row>
    <row r="44">
      <c r="A44" s="23" t="inlineStr"/>
      <c r="B44" s="23" t="n"/>
      <c r="C44" s="23" t="n"/>
      <c r="D44" s="23" t="n"/>
      <c r="E44" s="23" t="n"/>
      <c r="F44" s="23" t="n"/>
      <c r="G44" s="24">
        <f>IF(E44="","",E44*F44)</f>
        <v/>
      </c>
      <c r="H44" s="23" t="n"/>
      <c r="I44" s="23" t="n"/>
      <c r="J44" s="23" t="n"/>
      <c r="K44" s="23" t="n"/>
      <c r="L44" s="23" t="n"/>
      <c r="M44" s="23" t="n"/>
    </row>
    <row r="45">
      <c r="A45" s="23" t="inlineStr"/>
      <c r="B45" s="23" t="n"/>
      <c r="C45" s="23" t="n"/>
      <c r="D45" s="23" t="n"/>
      <c r="E45" s="23" t="n"/>
      <c r="F45" s="23" t="n"/>
      <c r="G45" s="24">
        <f>IF(E45="","",E45*F45)</f>
        <v/>
      </c>
      <c r="H45" s="23" t="n"/>
      <c r="I45" s="23" t="n"/>
      <c r="J45" s="23" t="n"/>
      <c r="K45" s="23" t="n"/>
      <c r="L45" s="23" t="n"/>
      <c r="M45" s="23" t="n"/>
    </row>
    <row r="46">
      <c r="A46" s="23" t="inlineStr"/>
      <c r="B46" s="23" t="n"/>
      <c r="C46" s="23" t="n"/>
      <c r="D46" s="23" t="n"/>
      <c r="E46" s="23" t="n"/>
      <c r="F46" s="23" t="n"/>
      <c r="G46" s="24">
        <f>IF(E46="","",E46*F46)</f>
        <v/>
      </c>
      <c r="H46" s="23" t="n"/>
      <c r="I46" s="23" t="n"/>
      <c r="J46" s="23" t="n"/>
      <c r="K46" s="23" t="n"/>
      <c r="L46" s="23" t="n"/>
      <c r="M46" s="23" t="n"/>
    </row>
    <row r="47">
      <c r="A47" s="23" t="inlineStr"/>
      <c r="B47" s="23" t="n"/>
      <c r="C47" s="23" t="n"/>
      <c r="D47" s="23" t="n"/>
      <c r="E47" s="23" t="n"/>
      <c r="F47" s="23" t="n"/>
      <c r="G47" s="24">
        <f>IF(E47="","",E47*F47)</f>
        <v/>
      </c>
      <c r="H47" s="23" t="n"/>
      <c r="I47" s="23" t="n"/>
      <c r="J47" s="23" t="n"/>
      <c r="K47" s="23" t="n"/>
      <c r="L47" s="23" t="n"/>
      <c r="M47" s="23" t="n"/>
    </row>
    <row r="48">
      <c r="A48" s="23" t="inlineStr"/>
      <c r="B48" s="23" t="n"/>
      <c r="C48" s="23" t="n"/>
      <c r="D48" s="23" t="n"/>
      <c r="E48" s="23" t="n"/>
      <c r="F48" s="23" t="n"/>
      <c r="G48" s="24">
        <f>IF(E48="","",E48*F48)</f>
        <v/>
      </c>
      <c r="H48" s="23" t="n"/>
      <c r="I48" s="23" t="n"/>
      <c r="J48" s="23" t="n"/>
      <c r="K48" s="23" t="n"/>
      <c r="L48" s="23" t="n"/>
      <c r="M48" s="23" t="n"/>
    </row>
    <row r="49">
      <c r="A49" s="23" t="inlineStr"/>
      <c r="B49" s="23" t="n"/>
      <c r="C49" s="23" t="n"/>
      <c r="D49" s="23" t="n"/>
      <c r="E49" s="23" t="n"/>
      <c r="F49" s="23" t="n"/>
      <c r="G49" s="24">
        <f>IF(E49="","",E49*F49)</f>
        <v/>
      </c>
      <c r="H49" s="23" t="n"/>
      <c r="I49" s="23" t="n"/>
      <c r="J49" s="23" t="n"/>
      <c r="K49" s="23" t="n"/>
      <c r="L49" s="23" t="n"/>
      <c r="M49" s="23" t="n"/>
    </row>
    <row r="50">
      <c r="A50" s="23" t="inlineStr"/>
      <c r="B50" s="23" t="n"/>
      <c r="C50" s="23" t="n"/>
      <c r="D50" s="23" t="n"/>
      <c r="E50" s="23" t="n"/>
      <c r="F50" s="23" t="n"/>
      <c r="G50" s="24">
        <f>IF(E50="","",E50*F50)</f>
        <v/>
      </c>
      <c r="H50" s="23" t="n"/>
      <c r="I50" s="23" t="n"/>
      <c r="J50" s="23" t="n"/>
      <c r="K50" s="23" t="n"/>
      <c r="L50" s="23" t="n"/>
      <c r="M50" s="23" t="n"/>
    </row>
    <row r="51">
      <c r="A51" s="23" t="inlineStr"/>
      <c r="B51" s="23" t="n"/>
      <c r="C51" s="23" t="n"/>
      <c r="D51" s="23" t="n"/>
      <c r="E51" s="23" t="n"/>
      <c r="F51" s="23" t="n"/>
      <c r="G51" s="24">
        <f>IF(E51="","",E51*F51)</f>
        <v/>
      </c>
      <c r="H51" s="23" t="n"/>
      <c r="I51" s="23" t="n"/>
      <c r="J51" s="23" t="n"/>
      <c r="K51" s="23" t="n"/>
      <c r="L51" s="23" t="n"/>
      <c r="M51" s="23" t="n"/>
    </row>
    <row r="52">
      <c r="A52" s="23" t="inlineStr"/>
      <c r="B52" s="23" t="n"/>
      <c r="C52" s="23" t="n"/>
      <c r="D52" s="23" t="n"/>
      <c r="E52" s="23" t="n"/>
      <c r="F52" s="23" t="n"/>
      <c r="G52" s="24">
        <f>IF(E52="","",E52*F52)</f>
        <v/>
      </c>
      <c r="H52" s="23" t="n"/>
      <c r="I52" s="23" t="n"/>
      <c r="J52" s="23" t="n"/>
      <c r="K52" s="23" t="n"/>
      <c r="L52" s="23" t="n"/>
      <c r="M52" s="23" t="n"/>
    </row>
    <row r="53">
      <c r="A53" s="23" t="inlineStr"/>
      <c r="B53" s="23" t="n"/>
      <c r="C53" s="23" t="n"/>
      <c r="D53" s="23" t="n"/>
      <c r="E53" s="23" t="n"/>
      <c r="F53" s="23" t="n"/>
      <c r="G53" s="24">
        <f>IF(E53="","",E53*F53)</f>
        <v/>
      </c>
      <c r="H53" s="23" t="n"/>
      <c r="I53" s="23" t="n"/>
      <c r="J53" s="23" t="n"/>
      <c r="K53" s="23" t="n"/>
      <c r="L53" s="23" t="n"/>
      <c r="M53" s="23" t="n"/>
    </row>
    <row r="54">
      <c r="A54" s="23" t="inlineStr"/>
      <c r="B54" s="23" t="n"/>
      <c r="C54" s="23" t="n"/>
      <c r="D54" s="23" t="n"/>
      <c r="E54" s="23" t="n"/>
      <c r="F54" s="23" t="n"/>
      <c r="G54" s="24">
        <f>IF(E54="","",E54*F54)</f>
        <v/>
      </c>
      <c r="H54" s="23" t="n"/>
      <c r="I54" s="23" t="n"/>
      <c r="J54" s="23" t="n"/>
      <c r="K54" s="23" t="n"/>
      <c r="L54" s="23" t="n"/>
      <c r="M54" s="23" t="n"/>
    </row>
    <row r="55">
      <c r="A55" s="23" t="inlineStr"/>
      <c r="B55" s="23" t="n"/>
      <c r="C55" s="23" t="n"/>
      <c r="D55" s="23" t="n"/>
      <c r="E55" s="23" t="n"/>
      <c r="F55" s="23" t="n"/>
      <c r="G55" s="24">
        <f>IF(E55="","",E55*F55)</f>
        <v/>
      </c>
      <c r="H55" s="23" t="n"/>
      <c r="I55" s="23" t="n"/>
      <c r="J55" s="23" t="n"/>
      <c r="K55" s="23" t="n"/>
      <c r="L55" s="23" t="n"/>
      <c r="M55" s="23" t="n"/>
    </row>
    <row r="58">
      <c r="A58" s="25" t="inlineStr">
        <is>
          <t>DAILY SUMMARY</t>
        </is>
      </c>
    </row>
    <row r="59">
      <c r="A59" s="26" t="inlineStr">
        <is>
          <t>Total Transactions</t>
        </is>
      </c>
      <c r="B59">
        <f>COUNTA(B6:B55)</f>
        <v/>
      </c>
    </row>
    <row r="60">
      <c r="A60" s="26" t="inlineStr">
        <is>
          <t>Total Revenue</t>
        </is>
      </c>
      <c r="B60" s="27">
        <f>SUM(G6:G55)</f>
        <v/>
      </c>
    </row>
    <row r="61">
      <c r="A61" s="26" t="inlineStr">
        <is>
          <t>Average Order Value</t>
        </is>
      </c>
      <c r="B61" s="27">
        <f>IF(B59=0,"-",B60/B59)</f>
        <v/>
      </c>
    </row>
    <row r="62">
      <c r="A62" s="26" t="inlineStr">
        <is>
          <t>Units Sold</t>
        </is>
      </c>
      <c r="B62">
        <f>SUM(E6:E55)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>
      <c r="A1" s="1" t="inlineStr">
        <is>
          <t>WEEKLY SALES REPORT TEMPLATE</t>
        </is>
      </c>
    </row>
    <row r="2">
      <c r="A2" s="2" t="inlineStr">
        <is>
          <t>Week of: [DATE] — Prepared by: [NAME]</t>
        </is>
      </c>
    </row>
    <row r="4">
      <c r="A4" s="2" t="inlineStr">
        <is>
          <t>EXECUTIVE SUMMARY</t>
        </is>
      </c>
    </row>
    <row r="5">
      <c r="A5" s="3" t="inlineStr">
        <is>
          <t>Total Revenue This Week</t>
        </is>
      </c>
      <c r="B5" s="28" t="n">
        <v>0</v>
      </c>
    </row>
    <row r="6">
      <c r="A6" s="3" t="inlineStr">
        <is>
          <t>Total Units Sold</t>
        </is>
      </c>
      <c r="B6" s="28" t="n">
        <v>0</v>
      </c>
    </row>
    <row r="7">
      <c r="A7" s="3" t="inlineStr">
        <is>
          <t>Total Orders</t>
        </is>
      </c>
      <c r="B7" s="28" t="n">
        <v>0</v>
      </c>
    </row>
    <row r="8">
      <c r="A8" s="3" t="inlineStr">
        <is>
          <t>Average Order Value</t>
        </is>
      </c>
      <c r="B8" s="28" t="n">
        <v>0</v>
      </c>
    </row>
    <row r="9">
      <c r="A9" s="3" t="inlineStr">
        <is>
          <t>Week-over-Week Growth</t>
        </is>
      </c>
      <c r="B9" s="28" t="inlineStr">
        <is>
          <t>0%</t>
        </is>
      </c>
    </row>
    <row r="10">
      <c r="A10" s="3" t="inlineStr">
        <is>
          <t>Top Performing Channel</t>
        </is>
      </c>
      <c r="B10" s="28" t="inlineStr"/>
    </row>
    <row r="11">
      <c r="A11" s="3" t="inlineStr">
        <is>
          <t>Top Selling Product</t>
        </is>
      </c>
      <c r="B11" s="28" t="inlineStr"/>
    </row>
    <row r="12">
      <c r="A12" s="3" t="inlineStr">
        <is>
          <t>Key Wins</t>
        </is>
      </c>
      <c r="B12" s="28" t="inlineStr"/>
    </row>
    <row r="13">
      <c r="A13" s="3" t="inlineStr">
        <is>
          <t>Challenges/Risks</t>
        </is>
      </c>
      <c r="B13" s="28" t="inlineStr"/>
    </row>
    <row r="15">
      <c r="A15" s="2" t="inlineStr">
        <is>
          <t>DAILY BREAKDOWN</t>
        </is>
      </c>
    </row>
    <row r="16">
      <c r="A16" s="5" t="inlineStr">
        <is>
          <t>Day</t>
        </is>
      </c>
      <c r="B16" s="5" t="inlineStr">
        <is>
          <t>Revenue (NGN)</t>
        </is>
      </c>
      <c r="C16" s="5" t="inlineStr">
        <is>
          <t>Units</t>
        </is>
      </c>
      <c r="D16" s="5" t="inlineStr">
        <is>
          <t>Orders</t>
        </is>
      </c>
      <c r="E16" s="5" t="inlineStr">
        <is>
          <t>AOV</t>
        </is>
      </c>
      <c r="F16" s="5" t="inlineStr">
        <is>
          <t>Notes</t>
        </is>
      </c>
    </row>
    <row r="17">
      <c r="A17" s="6" t="inlineStr">
        <is>
          <t>Monday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</row>
    <row r="18">
      <c r="A18" s="7" t="inlineStr">
        <is>
          <t>Tuesday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</row>
    <row r="19">
      <c r="A19" s="6" t="inlineStr">
        <is>
          <t>Wednesday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</row>
    <row r="20">
      <c r="A20" s="7" t="inlineStr">
        <is>
          <t>Thursday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</row>
    <row r="21">
      <c r="A21" s="6" t="inlineStr">
        <is>
          <t>Friday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</row>
    <row r="22">
      <c r="A22" s="7" t="inlineStr">
        <is>
          <t>Saturday</t>
        </is>
      </c>
      <c r="B22" s="10" t="n">
        <v>0</v>
      </c>
      <c r="C22" s="10" t="n">
        <v>0</v>
      </c>
      <c r="D22" s="10" t="n">
        <v>0</v>
      </c>
      <c r="E22" s="10" t="n">
        <v>0</v>
      </c>
      <c r="F22" s="10" t="n">
        <v>0</v>
      </c>
    </row>
    <row r="23">
      <c r="A23" s="6" t="inlineStr">
        <is>
          <t>Sunday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</row>
    <row r="24">
      <c r="A24" s="26" t="inlineStr">
        <is>
          <t>WEEKLY TOTAL</t>
        </is>
      </c>
      <c r="B24" s="25">
        <f>SUM(B17:B23)</f>
        <v/>
      </c>
      <c r="C24" s="25">
        <f>SUM(C17:C23)</f>
        <v/>
      </c>
      <c r="D24" s="25">
        <f>SUM(D17:D23)</f>
        <v/>
      </c>
      <c r="E24" s="29">
        <f>IF(D24=0,"-",B24/D24)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41E3A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MONTHLY EXECUTIVE SALES REPORT</t>
        </is>
      </c>
    </row>
    <row r="2">
      <c r="A2" s="2" t="inlineStr">
        <is>
          <t>Month: [MONTH YEAR] — Prepared by: [NAME]</t>
        </is>
      </c>
    </row>
    <row r="4">
      <c r="A4" s="2" t="inlineStr">
        <is>
          <t>MONTHLY PERFORMANCE DASHBOARD</t>
        </is>
      </c>
    </row>
    <row r="5">
      <c r="A5" s="5" t="inlineStr">
        <is>
          <t>KPI</t>
        </is>
      </c>
      <c r="B5" s="5" t="inlineStr">
        <is>
          <t>Target</t>
        </is>
      </c>
      <c r="C5" s="5" t="inlineStr">
        <is>
          <t>Actual</t>
        </is>
      </c>
      <c r="D5" s="5" t="inlineStr">
        <is>
          <t>% Achievement</t>
        </is>
      </c>
      <c r="E5" s="5" t="inlineStr">
        <is>
          <t>vs Last Month</t>
        </is>
      </c>
    </row>
    <row r="6">
      <c r="A6" s="6" t="inlineStr">
        <is>
          <t>Total Revenue (NGN)</t>
        </is>
      </c>
      <c r="B6" s="6" t="n">
        <v>0</v>
      </c>
      <c r="C6" s="6" t="n">
        <v>0</v>
      </c>
      <c r="D6" s="9">
        <f>IF(B6=0,"-",C6/B6)</f>
        <v/>
      </c>
      <c r="E6" s="6" t="inlineStr"/>
    </row>
    <row r="7">
      <c r="A7" s="7" t="inlineStr">
        <is>
          <t>Total Units Sold</t>
        </is>
      </c>
      <c r="B7" s="7" t="n">
        <v>0</v>
      </c>
      <c r="C7" s="10" t="n">
        <v>0</v>
      </c>
      <c r="D7" s="11">
        <f>IF(B7=0,"-",C7/B7)</f>
        <v/>
      </c>
      <c r="E7" s="7" t="inlineStr"/>
    </row>
    <row r="8">
      <c r="A8" s="6" t="inlineStr">
        <is>
          <t>Total Orders</t>
        </is>
      </c>
      <c r="B8" s="6" t="n">
        <v>0</v>
      </c>
      <c r="C8" s="6" t="n">
        <v>0</v>
      </c>
      <c r="D8" s="9">
        <f>IF(B8=0,"-",C8/B8)</f>
        <v/>
      </c>
      <c r="E8" s="6" t="inlineStr"/>
    </row>
    <row r="9">
      <c r="A9" s="7" t="inlineStr">
        <is>
          <t>Average Order Value (NGN)</t>
        </is>
      </c>
      <c r="B9" s="7" t="n">
        <v>0</v>
      </c>
      <c r="C9" s="10" t="n">
        <v>0</v>
      </c>
      <c r="D9" s="11">
        <f>IF(B9=0,"-",C9/B9)</f>
        <v/>
      </c>
      <c r="E9" s="7" t="inlineStr"/>
    </row>
    <row r="10">
      <c r="A10" s="6" t="inlineStr">
        <is>
          <t>New Customers</t>
        </is>
      </c>
      <c r="B10" s="6" t="n">
        <v>0</v>
      </c>
      <c r="C10" s="6" t="n">
        <v>0</v>
      </c>
      <c r="D10" s="9">
        <f>IF(B10=0,"-",C10/B10)</f>
        <v/>
      </c>
      <c r="E10" s="6" t="inlineStr"/>
    </row>
    <row r="11">
      <c r="A11" s="7" t="inlineStr">
        <is>
          <t>Customer Acquisition Cost (NGN)</t>
        </is>
      </c>
      <c r="B11" s="7" t="n">
        <v>0</v>
      </c>
      <c r="C11" s="10" t="n">
        <v>0</v>
      </c>
      <c r="D11" s="11">
        <f>IF(B11=0,"-",C11/B11)</f>
        <v/>
      </c>
      <c r="E11" s="7" t="inlineStr"/>
    </row>
    <row r="12">
      <c r="A12" s="6" t="inlineStr">
        <is>
          <t>Gross Margin (%)</t>
        </is>
      </c>
      <c r="B12" s="6" t="inlineStr">
        <is>
          <t>30%</t>
        </is>
      </c>
      <c r="C12" s="6" t="n">
        <v>0</v>
      </c>
      <c r="D12" s="9">
        <f>IF(B12=0,"-",C12/B12)</f>
        <v/>
      </c>
      <c r="E12" s="6" t="inlineStr"/>
    </row>
    <row r="13">
      <c r="A13" s="7" t="inlineStr">
        <is>
          <t>Return Rate (%)</t>
        </is>
      </c>
      <c r="B13" s="7" t="inlineStr">
        <is>
          <t>&lt;5%</t>
        </is>
      </c>
      <c r="C13" s="10" t="n">
        <v>0</v>
      </c>
      <c r="D13" s="11">
        <f>IF(B13=0,"-",C13/B13)</f>
        <v/>
      </c>
      <c r="E13" s="7" t="inlineStr"/>
    </row>
    <row r="14">
      <c r="A14" s="6" t="inlineStr">
        <is>
          <t>Website Conversion Rate (%)</t>
        </is>
      </c>
      <c r="B14" s="6" t="inlineStr">
        <is>
          <t>2.5%</t>
        </is>
      </c>
      <c r="C14" s="6" t="n">
        <v>0</v>
      </c>
      <c r="D14" s="9">
        <f>IF(B14=0,"-",C14/B14)</f>
        <v/>
      </c>
      <c r="E14" s="6" t="inlineStr"/>
    </row>
    <row r="15">
      <c r="A15" s="7" t="inlineStr">
        <is>
          <t>Marketing ROI</t>
        </is>
      </c>
      <c r="B15" s="7" t="inlineStr">
        <is>
          <t>3x</t>
        </is>
      </c>
      <c r="C15" s="10" t="n">
        <v>0</v>
      </c>
      <c r="D15" s="11">
        <f>IF(B15=0,"-",C15/B15)</f>
        <v/>
      </c>
      <c r="E15" s="7" t="inlineStr"/>
    </row>
    <row r="17">
      <c r="A17" s="2" t="inlineStr">
        <is>
          <t>CHANNEL PERFORMANCE SUMMARY</t>
        </is>
      </c>
    </row>
    <row r="18">
      <c r="A18" s="5" t="inlineStr">
        <is>
          <t>Channel</t>
        </is>
      </c>
      <c r="B18" s="5" t="inlineStr">
        <is>
          <t>Revenue (NGN)</t>
        </is>
      </c>
      <c r="C18" s="5" t="inlineStr">
        <is>
          <t>% Share</t>
        </is>
      </c>
      <c r="D18" s="5" t="inlineStr">
        <is>
          <t>Units</t>
        </is>
      </c>
      <c r="E18" s="5" t="inlineStr">
        <is>
          <t>AOV (NGN)</t>
        </is>
      </c>
    </row>
    <row r="19">
      <c r="A19" s="6" t="inlineStr">
        <is>
          <t>Website</t>
        </is>
      </c>
      <c r="B19" s="6" t="n">
        <v>0</v>
      </c>
      <c r="C19" s="9">
        <f>IF(B$23=0,"-",B19/B$23)</f>
        <v/>
      </c>
      <c r="D19" s="6" t="n">
        <v>0</v>
      </c>
      <c r="E19" s="15">
        <f>IF(D19=0,"-",B19/D19)</f>
        <v/>
      </c>
    </row>
    <row r="20">
      <c r="A20" s="7" t="inlineStr">
        <is>
          <t>Jumia</t>
        </is>
      </c>
      <c r="B20" s="10" t="n">
        <v>0</v>
      </c>
      <c r="C20" s="11">
        <f>IF(B$23=0,"-",B20/B$23)</f>
        <v/>
      </c>
      <c r="D20" s="10" t="n">
        <v>0</v>
      </c>
      <c r="E20" s="16">
        <f>IF(D20=0,"-",B20/D20)</f>
        <v/>
      </c>
    </row>
    <row r="21">
      <c r="A21" s="6" t="inlineStr">
        <is>
          <t>Konga</t>
        </is>
      </c>
      <c r="B21" s="6" t="n">
        <v>0</v>
      </c>
      <c r="C21" s="9">
        <f>IF(B$23=0,"-",B21/B$23)</f>
        <v/>
      </c>
      <c r="D21" s="6" t="n">
        <v>0</v>
      </c>
      <c r="E21" s="15">
        <f>IF(D21=0,"-",B21/D21)</f>
        <v/>
      </c>
    </row>
    <row r="22">
      <c r="A22" s="7" t="inlineStr">
        <is>
          <t>Offline/POS</t>
        </is>
      </c>
      <c r="B22" s="10" t="n">
        <v>0</v>
      </c>
      <c r="C22" s="11">
        <f>IF(B$23=0,"-",B22/B$23)</f>
        <v/>
      </c>
      <c r="D22" s="10" t="n">
        <v>0</v>
      </c>
      <c r="E22" s="16">
        <f>IF(D22=0,"-",B22/D22)</f>
        <v/>
      </c>
    </row>
    <row r="24">
      <c r="A24" s="2" t="inlineStr">
        <is>
          <t>KEY INSIGHTS &amp; RECOMMENDATIONS</t>
        </is>
      </c>
    </row>
    <row r="25">
      <c r="A25" s="30" t="inlineStr">
        <is>
          <t>Top Performing Product: [Enter product name and why]</t>
        </is>
      </c>
    </row>
    <row r="26">
      <c r="A26" s="30" t="inlineStr">
        <is>
          <t>Top Performing Channel: [Enter channel and metrics]</t>
        </is>
      </c>
    </row>
    <row r="27">
      <c r="A27" s="30" t="inlineStr">
        <is>
          <t>Top Performing City: [Enter city and revenue share]</t>
        </is>
      </c>
    </row>
    <row r="28">
      <c r="A28" s="30" t="inlineStr">
        <is>
          <t>Biggest Campaign Winner: [Enter campaign and ROAS]</t>
        </is>
      </c>
    </row>
    <row r="29">
      <c r="A29" s="30" t="inlineStr">
        <is>
          <t>Inventory Concerns: [Products needing reorder]</t>
        </is>
      </c>
    </row>
    <row r="30">
      <c r="A30" s="30" t="inlineStr">
        <is>
          <t>Competitor Activity: [Notable Oraimo or competitor moves]</t>
        </is>
      </c>
    </row>
    <row r="31">
      <c r="A31" s="30" t="inlineStr">
        <is>
          <t>Customer Feedback Trends: [Common themes from reviews]</t>
        </is>
      </c>
    </row>
    <row r="32">
      <c r="A32" s="30" t="inlineStr">
        <is>
          <t>Budget Utilization: [Spend vs plan and recommendations]</t>
        </is>
      </c>
    </row>
    <row r="33">
      <c r="A33" s="30" t="inlineStr">
        <is>
          <t>Next Month Priorities: [Top 3 action items]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30A0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INVENTORY MANAGEMENT TRACKER</t>
        </is>
      </c>
    </row>
    <row r="2">
      <c r="A2" s="2" t="inlineStr">
        <is>
          <t>Stock Levels, Reorder Alerts, and Turnover Analysis</t>
        </is>
      </c>
    </row>
    <row r="4">
      <c r="A4" s="5" t="inlineStr">
        <is>
          <t>Product</t>
        </is>
      </c>
      <c r="B4" s="5" t="inlineStr">
        <is>
          <t>SKU</t>
        </is>
      </c>
      <c r="C4" s="5" t="inlineStr">
        <is>
          <t>Current Stock</t>
        </is>
      </c>
      <c r="D4" s="5" t="inlineStr">
        <is>
          <t>Reorder Point</t>
        </is>
      </c>
      <c r="E4" s="5" t="inlineStr">
        <is>
          <t>Lead Time (Days)</t>
        </is>
      </c>
      <c r="F4" s="5" t="inlineStr">
        <is>
          <t>Monthly Demand</t>
        </is>
      </c>
      <c r="G4" s="5" t="inlineStr">
        <is>
          <t>Stock Status</t>
        </is>
      </c>
      <c r="H4" s="5" t="inlineStr">
        <is>
          <t>Days of Stock</t>
        </is>
      </c>
      <c r="I4" s="5" t="inlineStr">
        <is>
          <t>Reorder Qty</t>
        </is>
      </c>
      <c r="J4" s="5" t="inlineStr">
        <is>
          <t>Reorder Date</t>
        </is>
      </c>
    </row>
    <row r="5">
      <c r="A5" s="6" t="inlineStr">
        <is>
          <t>Cables</t>
        </is>
      </c>
      <c r="B5" s="6" t="inlineStr">
        <is>
          <t>MK-001</t>
        </is>
      </c>
      <c r="C5" s="6" t="n">
        <v>0</v>
      </c>
      <c r="D5" s="6" t="n">
        <v>0</v>
      </c>
      <c r="E5" s="6" t="n">
        <v>0</v>
      </c>
      <c r="F5" s="6" t="n">
        <v>0</v>
      </c>
      <c r="G5" s="6">
        <f>IF(C5=0,"OUT OF STOCK",IF(C5&lt;=D5,"CRITICAL - REORDER",IF(C5&lt;=D5*1.5,"LOW STOCK","OK")))</f>
        <v/>
      </c>
      <c r="H5" s="19">
        <f>IF(F5=0,"-",(C5/F5)*30)</f>
        <v/>
      </c>
      <c r="I5" s="6">
        <f>IF(C5&lt;=D5,F5*2,0)</f>
        <v/>
      </c>
      <c r="J5" s="31">
        <f>IF(C5&lt;=D5,TODAY()+E5,"")</f>
        <v/>
      </c>
    </row>
    <row r="6">
      <c r="A6" s="7" t="inlineStr">
        <is>
          <t>Power Banks</t>
        </is>
      </c>
      <c r="B6" s="7" t="inlineStr">
        <is>
          <t>MK-002</t>
        </is>
      </c>
      <c r="C6" s="10" t="n">
        <v>0</v>
      </c>
      <c r="D6" s="10" t="n">
        <v>0</v>
      </c>
      <c r="E6" s="10" t="n">
        <v>0</v>
      </c>
      <c r="F6" s="10" t="n">
        <v>0</v>
      </c>
      <c r="G6" s="7">
        <f>IF(C6=0,"OUT OF STOCK",IF(C6&lt;=D6,"CRITICAL - REORDER",IF(C6&lt;=D6*1.5,"LOW STOCK","OK")))</f>
        <v/>
      </c>
      <c r="H6" s="21">
        <f>IF(F6=0,"-",(C6/F6)*30)</f>
        <v/>
      </c>
      <c r="I6" s="7">
        <f>IF(C6&lt;=D6,F6*2,0)</f>
        <v/>
      </c>
      <c r="J6" s="32">
        <f>IF(C6&lt;=D6,TODAY()+E6,"")</f>
        <v/>
      </c>
    </row>
    <row r="7">
      <c r="A7" s="6" t="inlineStr">
        <is>
          <t>Smart Glasses</t>
        </is>
      </c>
      <c r="B7" s="6" t="inlineStr">
        <is>
          <t>MK-003</t>
        </is>
      </c>
      <c r="C7" s="6" t="n">
        <v>0</v>
      </c>
      <c r="D7" s="6" t="n">
        <v>0</v>
      </c>
      <c r="E7" s="6" t="n">
        <v>0</v>
      </c>
      <c r="F7" s="6" t="n">
        <v>0</v>
      </c>
      <c r="G7" s="6">
        <f>IF(C7=0,"OUT OF STOCK",IF(C7&lt;=D7,"CRITICAL - REORDER",IF(C7&lt;=D7*1.5,"LOW STOCK","OK")))</f>
        <v/>
      </c>
      <c r="H7" s="19">
        <f>IF(F7=0,"-",(C7/F7)*30)</f>
        <v/>
      </c>
      <c r="I7" s="6">
        <f>IF(C7&lt;=D7,F7*2,0)</f>
        <v/>
      </c>
      <c r="J7" s="31">
        <f>IF(C7&lt;=D7,TODAY()+E7,"")</f>
        <v/>
      </c>
    </row>
    <row r="8">
      <c r="A8" s="7" t="inlineStr">
        <is>
          <t>Smart Watches</t>
        </is>
      </c>
      <c r="B8" s="7" t="inlineStr">
        <is>
          <t>MK-004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7">
        <f>IF(C8=0,"OUT OF STOCK",IF(C8&lt;=D8,"CRITICAL - REORDER",IF(C8&lt;=D8*1.5,"LOW STOCK","OK")))</f>
        <v/>
      </c>
      <c r="H8" s="21">
        <f>IF(F8=0,"-",(C8/F8)*30)</f>
        <v/>
      </c>
      <c r="I8" s="7">
        <f>IF(C8&lt;=D8,F8*2,0)</f>
        <v/>
      </c>
      <c r="J8" s="32">
        <f>IF(C8&lt;=D8,TODAY()+E8,"")</f>
        <v/>
      </c>
    </row>
    <row r="9">
      <c r="A9" s="6" t="inlineStr">
        <is>
          <t>Chargers</t>
        </is>
      </c>
      <c r="B9" s="6" t="inlineStr">
        <is>
          <t>MK-005</t>
        </is>
      </c>
      <c r="C9" s="6" t="n">
        <v>0</v>
      </c>
      <c r="D9" s="6" t="n">
        <v>0</v>
      </c>
      <c r="E9" s="6" t="n">
        <v>0</v>
      </c>
      <c r="F9" s="6" t="n">
        <v>0</v>
      </c>
      <c r="G9" s="6">
        <f>IF(C9=0,"OUT OF STOCK",IF(C9&lt;=D9,"CRITICAL - REORDER",IF(C9&lt;=D9*1.5,"LOW STOCK","OK")))</f>
        <v/>
      </c>
      <c r="H9" s="19">
        <f>IF(F9=0,"-",(C9/F9)*30)</f>
        <v/>
      </c>
      <c r="I9" s="6">
        <f>IF(C9&lt;=D9,F9*2,0)</f>
        <v/>
      </c>
      <c r="J9" s="31">
        <f>IF(C9&lt;=D9,TODAY()+E9,"")</f>
        <v/>
      </c>
    </row>
    <row r="10">
      <c r="A10" s="7" t="inlineStr">
        <is>
          <t>Car Chargers</t>
        </is>
      </c>
      <c r="B10" s="7" t="inlineStr">
        <is>
          <t>MK-006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7">
        <f>IF(C10=0,"OUT OF STOCK",IF(C10&lt;=D10,"CRITICAL - REORDER",IF(C10&lt;=D10*1.5,"LOW STOCK","OK")))</f>
        <v/>
      </c>
      <c r="H10" s="21">
        <f>IF(F10=0,"-",(C10/F10)*30)</f>
        <v/>
      </c>
      <c r="I10" s="7">
        <f>IF(C10&lt;=D10,F10*2,0)</f>
        <v/>
      </c>
      <c r="J10" s="32">
        <f>IF(C10&lt;=D10,TODAY()+E10,"")</f>
        <v/>
      </c>
    </row>
    <row r="11">
      <c r="A11" s="6" t="inlineStr">
        <is>
          <t>Headsets</t>
        </is>
      </c>
      <c r="B11" s="6" t="inlineStr">
        <is>
          <t>MK-007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>
        <f>IF(C11=0,"OUT OF STOCK",IF(C11&lt;=D11,"CRITICAL - REORDER",IF(C11&lt;=D11*1.5,"LOW STOCK","OK")))</f>
        <v/>
      </c>
      <c r="H11" s="19">
        <f>IF(F11=0,"-",(C11/F11)*30)</f>
        <v/>
      </c>
      <c r="I11" s="6">
        <f>IF(C11&lt;=D11,F11*2,0)</f>
        <v/>
      </c>
      <c r="J11" s="31">
        <f>IF(C11&lt;=D11,TODAY()+E11,"")</f>
        <v/>
      </c>
    </row>
    <row r="12">
      <c r="A12" s="7" t="inlineStr">
        <is>
          <t>Ear Buds</t>
        </is>
      </c>
      <c r="B12" s="7" t="inlineStr">
        <is>
          <t>MK-008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7">
        <f>IF(C12=0,"OUT OF STOCK",IF(C12&lt;=D12,"CRITICAL - REORDER",IF(C12&lt;=D12*1.5,"LOW STOCK","OK")))</f>
        <v/>
      </c>
      <c r="H12" s="21">
        <f>IF(F12=0,"-",(C12/F12)*30)</f>
        <v/>
      </c>
      <c r="I12" s="7">
        <f>IF(C12&lt;=D12,F12*2,0)</f>
        <v/>
      </c>
      <c r="J12" s="32">
        <f>IF(C12&lt;=D12,TODAY()+E12,"")</f>
        <v/>
      </c>
    </row>
    <row r="13">
      <c r="A13" s="6" t="inlineStr">
        <is>
          <t>Phone Stands</t>
        </is>
      </c>
      <c r="B13" s="6" t="inlineStr">
        <is>
          <t>MK-009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>
        <f>IF(C13=0,"OUT OF STOCK",IF(C13&lt;=D13,"CRITICAL - REORDER",IF(C13&lt;=D13*1.5,"LOW STOCK","OK")))</f>
        <v/>
      </c>
      <c r="H13" s="19">
        <f>IF(F13=0,"-",(C13/F13)*30)</f>
        <v/>
      </c>
      <c r="I13" s="6">
        <f>IF(C13&lt;=D13,F13*2,0)</f>
        <v/>
      </c>
      <c r="J13" s="31">
        <f>IF(C13&lt;=D13,TODAY()+E13,"")</f>
        <v/>
      </c>
    </row>
    <row r="14">
      <c r="A14" s="7" t="inlineStr">
        <is>
          <t>Phone Holders</t>
        </is>
      </c>
      <c r="B14" s="7" t="inlineStr">
        <is>
          <t>MK-010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7">
        <f>IF(C14=0,"OUT OF STOCK",IF(C14&lt;=D14,"CRITICAL - REORDER",IF(C14&lt;=D14*1.5,"LOW STOCK","OK")))</f>
        <v/>
      </c>
      <c r="H14" s="21">
        <f>IF(F14=0,"-",(C14/F14)*30)</f>
        <v/>
      </c>
      <c r="I14" s="7">
        <f>IF(C14&lt;=D14,F14*2,0)</f>
        <v/>
      </c>
      <c r="J14" s="32">
        <f>IF(C14&lt;=D14,TODAY()+E14,"")</f>
        <v/>
      </c>
    </row>
    <row r="15">
      <c r="A15" s="6" t="inlineStr">
        <is>
          <t>Tablet/Laptop Stands</t>
        </is>
      </c>
      <c r="B15" s="6" t="inlineStr">
        <is>
          <t>MK-011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>
        <f>IF(C15=0,"OUT OF STOCK",IF(C15&lt;=D15,"CRITICAL - REORDER",IF(C15&lt;=D15*1.5,"LOW STOCK","OK")))</f>
        <v/>
      </c>
      <c r="H15" s="19">
        <f>IF(F15=0,"-",(C15/F15)*30)</f>
        <v/>
      </c>
      <c r="I15" s="6">
        <f>IF(C15&lt;=D15,F15*2,0)</f>
        <v/>
      </c>
      <c r="J15" s="31">
        <f>IF(C15&lt;=D15,TODAY()+E15,"")</f>
        <v/>
      </c>
    </row>
    <row r="16">
      <c r="A16" s="7" t="inlineStr">
        <is>
          <t>Rechargeable Hand Fans</t>
        </is>
      </c>
      <c r="B16" s="7" t="inlineStr">
        <is>
          <t>MK-012</t>
        </is>
      </c>
      <c r="C16" s="10" t="n">
        <v>0</v>
      </c>
      <c r="D16" s="10" t="n">
        <v>0</v>
      </c>
      <c r="E16" s="10" t="n">
        <v>0</v>
      </c>
      <c r="F16" s="10" t="n">
        <v>0</v>
      </c>
      <c r="G16" s="7">
        <f>IF(C16=0,"OUT OF STOCK",IF(C16&lt;=D16,"CRITICAL - REORDER",IF(C16&lt;=D16*1.5,"LOW STOCK","OK")))</f>
        <v/>
      </c>
      <c r="H16" s="21">
        <f>IF(F16=0,"-",(C16/F16)*30)</f>
        <v/>
      </c>
      <c r="I16" s="7">
        <f>IF(C16&lt;=D16,F16*2,0)</f>
        <v/>
      </c>
      <c r="J16" s="32">
        <f>IF(C16&lt;=D16,TODAY()+E16,"")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0000"/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MARKETING BUDGET TRACKER</t>
        </is>
      </c>
    </row>
    <row r="2">
      <c r="A2" s="2" t="inlineStr">
        <is>
          <t>Budget Allocation vs Actual Spend - All Channels</t>
        </is>
      </c>
    </row>
    <row r="4">
      <c r="A4" s="5" t="inlineStr">
        <is>
          <t>Category</t>
        </is>
      </c>
      <c r="B4" s="5" t="inlineStr">
        <is>
          <t>Channel/Campaign</t>
        </is>
      </c>
      <c r="C4" s="5" t="inlineStr">
        <is>
          <t>Monthly Budget (NGN)</t>
        </is>
      </c>
      <c r="D4" s="5" t="inlineStr">
        <is>
          <t>Actual Spend (NGN)</t>
        </is>
      </c>
      <c r="E4" s="5" t="inlineStr">
        <is>
          <t>% Used</t>
        </is>
      </c>
      <c r="F4" s="5" t="inlineStr">
        <is>
          <t>Remaining (NGN)</t>
        </is>
      </c>
      <c r="G4" s="5" t="inlineStr">
        <is>
          <t>Projected EOM Spend</t>
        </is>
      </c>
      <c r="H4" s="5" t="inlineStr">
        <is>
          <t>Variance (NGN)</t>
        </is>
      </c>
    </row>
    <row r="5">
      <c r="A5" s="6" t="inlineStr">
        <is>
          <t>Digital Ads</t>
        </is>
      </c>
      <c r="B5" s="6" t="inlineStr">
        <is>
          <t>Instagram Ads</t>
        </is>
      </c>
      <c r="C5" s="6" t="n">
        <v>0</v>
      </c>
      <c r="D5" s="6" t="n">
        <v>0</v>
      </c>
      <c r="E5" s="9">
        <f>IF(C5=0,"-",D5/C5)</f>
        <v/>
      </c>
      <c r="F5" s="15">
        <f>C5-D5</f>
        <v/>
      </c>
      <c r="G5" s="6" t="n">
        <v>0</v>
      </c>
      <c r="H5" s="15">
        <f>G5-C5</f>
        <v/>
      </c>
    </row>
    <row r="6">
      <c r="A6" s="7" t="inlineStr">
        <is>
          <t>Digital Ads</t>
        </is>
      </c>
      <c r="B6" s="7" t="inlineStr">
        <is>
          <t>Facebook Ads</t>
        </is>
      </c>
      <c r="C6" s="10" t="n">
        <v>0</v>
      </c>
      <c r="D6" s="10" t="n">
        <v>0</v>
      </c>
      <c r="E6" s="11">
        <f>IF(C6=0,"-",D6/C6)</f>
        <v/>
      </c>
      <c r="F6" s="16">
        <f>C6-D6</f>
        <v/>
      </c>
      <c r="G6" s="10" t="n">
        <v>0</v>
      </c>
      <c r="H6" s="16">
        <f>G6-C6</f>
        <v/>
      </c>
    </row>
    <row r="7">
      <c r="A7" s="6" t="inlineStr">
        <is>
          <t>Digital Ads</t>
        </is>
      </c>
      <c r="B7" s="6" t="inlineStr">
        <is>
          <t>Google Ads</t>
        </is>
      </c>
      <c r="C7" s="6" t="n">
        <v>0</v>
      </c>
      <c r="D7" s="6" t="n">
        <v>0</v>
      </c>
      <c r="E7" s="9">
        <f>IF(C7=0,"-",D7/C7)</f>
        <v/>
      </c>
      <c r="F7" s="15">
        <f>C7-D7</f>
        <v/>
      </c>
      <c r="G7" s="6" t="n">
        <v>0</v>
      </c>
      <c r="H7" s="15">
        <f>G7-C7</f>
        <v/>
      </c>
    </row>
    <row r="8">
      <c r="A8" s="7" t="inlineStr">
        <is>
          <t>Digital Ads</t>
        </is>
      </c>
      <c r="B8" s="7" t="inlineStr">
        <is>
          <t>TikTok Ads</t>
        </is>
      </c>
      <c r="C8" s="10" t="n">
        <v>0</v>
      </c>
      <c r="D8" s="10" t="n">
        <v>0</v>
      </c>
      <c r="E8" s="11">
        <f>IF(C8=0,"-",D8/C8)</f>
        <v/>
      </c>
      <c r="F8" s="16">
        <f>C8-D8</f>
        <v/>
      </c>
      <c r="G8" s="10" t="n">
        <v>0</v>
      </c>
      <c r="H8" s="16">
        <f>G8-C8</f>
        <v/>
      </c>
    </row>
    <row r="9">
      <c r="A9" s="6" t="inlineStr">
        <is>
          <t>Marketplace Fees</t>
        </is>
      </c>
      <c r="B9" s="6" t="inlineStr">
        <is>
          <t>Jumia Commission</t>
        </is>
      </c>
      <c r="C9" s="6" t="n">
        <v>0</v>
      </c>
      <c r="D9" s="6" t="n">
        <v>0</v>
      </c>
      <c r="E9" s="9">
        <f>IF(C9=0,"-",D9/C9)</f>
        <v/>
      </c>
      <c r="F9" s="15">
        <f>C9-D9</f>
        <v/>
      </c>
      <c r="G9" s="6" t="n">
        <v>0</v>
      </c>
      <c r="H9" s="15">
        <f>G9-C9</f>
        <v/>
      </c>
    </row>
    <row r="10">
      <c r="A10" s="7" t="inlineStr">
        <is>
          <t>Marketplace Fees</t>
        </is>
      </c>
      <c r="B10" s="7" t="inlineStr">
        <is>
          <t>Konga Commission</t>
        </is>
      </c>
      <c r="C10" s="10" t="n">
        <v>0</v>
      </c>
      <c r="D10" s="10" t="n">
        <v>0</v>
      </c>
      <c r="E10" s="11">
        <f>IF(C10=0,"-",D10/C10)</f>
        <v/>
      </c>
      <c r="F10" s="16">
        <f>C10-D10</f>
        <v/>
      </c>
      <c r="G10" s="10" t="n">
        <v>0</v>
      </c>
      <c r="H10" s="16">
        <f>G10-C10</f>
        <v/>
      </c>
    </row>
    <row r="11">
      <c r="A11" s="6" t="inlineStr">
        <is>
          <t>Marketplace Fees</t>
        </is>
      </c>
      <c r="B11" s="6" t="inlineStr">
        <is>
          <t>Jumia Ads (Sponsored)</t>
        </is>
      </c>
      <c r="C11" s="6" t="n">
        <v>0</v>
      </c>
      <c r="D11" s="6" t="n">
        <v>0</v>
      </c>
      <c r="E11" s="9">
        <f>IF(C11=0,"-",D11/C11)</f>
        <v/>
      </c>
      <c r="F11" s="15">
        <f>C11-D11</f>
        <v/>
      </c>
      <c r="G11" s="6" t="n">
        <v>0</v>
      </c>
      <c r="H11" s="15">
        <f>G11-C11</f>
        <v/>
      </c>
    </row>
    <row r="12">
      <c r="A12" s="7" t="inlineStr">
        <is>
          <t>Influencer Marketing</t>
        </is>
      </c>
      <c r="B12" s="7" t="inlineStr">
        <is>
          <t>Tech YouTubers</t>
        </is>
      </c>
      <c r="C12" s="10" t="n">
        <v>0</v>
      </c>
      <c r="D12" s="10" t="n">
        <v>0</v>
      </c>
      <c r="E12" s="11">
        <f>IF(C12=0,"-",D12/C12)</f>
        <v/>
      </c>
      <c r="F12" s="16">
        <f>C12-D12</f>
        <v/>
      </c>
      <c r="G12" s="10" t="n">
        <v>0</v>
      </c>
      <c r="H12" s="16">
        <f>G12-C12</f>
        <v/>
      </c>
    </row>
    <row r="13">
      <c r="A13" s="6" t="inlineStr">
        <is>
          <t>Influencer Marketing</t>
        </is>
      </c>
      <c r="B13" s="6" t="inlineStr">
        <is>
          <t>Instagram Influencers</t>
        </is>
      </c>
      <c r="C13" s="6" t="n">
        <v>0</v>
      </c>
      <c r="D13" s="6" t="n">
        <v>0</v>
      </c>
      <c r="E13" s="9">
        <f>IF(C13=0,"-",D13/C13)</f>
        <v/>
      </c>
      <c r="F13" s="15">
        <f>C13-D13</f>
        <v/>
      </c>
      <c r="G13" s="6" t="n">
        <v>0</v>
      </c>
      <c r="H13" s="15">
        <f>G13-C13</f>
        <v/>
      </c>
    </row>
    <row r="14">
      <c r="A14" s="7" t="inlineStr">
        <is>
          <t>Influencer Marketing</t>
        </is>
      </c>
      <c r="B14" s="7" t="inlineStr">
        <is>
          <t>TikTok Creators</t>
        </is>
      </c>
      <c r="C14" s="10" t="n">
        <v>0</v>
      </c>
      <c r="D14" s="10" t="n">
        <v>0</v>
      </c>
      <c r="E14" s="11">
        <f>IF(C14=0,"-",D14/C14)</f>
        <v/>
      </c>
      <c r="F14" s="16">
        <f>C14-D14</f>
        <v/>
      </c>
      <c r="G14" s="10" t="n">
        <v>0</v>
      </c>
      <c r="H14" s="16">
        <f>G14-C14</f>
        <v/>
      </c>
    </row>
    <row r="15">
      <c r="A15" s="6" t="inlineStr">
        <is>
          <t>Content Creation</t>
        </is>
      </c>
      <c r="B15" s="6" t="inlineStr">
        <is>
          <t>Photography/Video</t>
        </is>
      </c>
      <c r="C15" s="6" t="n">
        <v>0</v>
      </c>
      <c r="D15" s="6" t="n">
        <v>0</v>
      </c>
      <c r="E15" s="9">
        <f>IF(C15=0,"-",D15/C15)</f>
        <v/>
      </c>
      <c r="F15" s="15">
        <f>C15-D15</f>
        <v/>
      </c>
      <c r="G15" s="6" t="n">
        <v>0</v>
      </c>
      <c r="H15" s="15">
        <f>G15-C15</f>
        <v/>
      </c>
    </row>
    <row r="16">
      <c r="A16" s="7" t="inlineStr">
        <is>
          <t>Content Creation</t>
        </is>
      </c>
      <c r="B16" s="7" t="inlineStr">
        <is>
          <t>Copywriting/Design</t>
        </is>
      </c>
      <c r="C16" s="10" t="n">
        <v>0</v>
      </c>
      <c r="D16" s="10" t="n">
        <v>0</v>
      </c>
      <c r="E16" s="11">
        <f>IF(C16=0,"-",D16/C16)</f>
        <v/>
      </c>
      <c r="F16" s="16">
        <f>C16-D16</f>
        <v/>
      </c>
      <c r="G16" s="10" t="n">
        <v>0</v>
      </c>
      <c r="H16" s="16">
        <f>G16-C16</f>
        <v/>
      </c>
    </row>
    <row r="17">
      <c r="A17" s="6" t="inlineStr">
        <is>
          <t>Logistics</t>
        </is>
      </c>
      <c r="B17" s="6" t="inlineStr">
        <is>
          <t>Delivery (Lagos)</t>
        </is>
      </c>
      <c r="C17" s="6" t="n">
        <v>0</v>
      </c>
      <c r="D17" s="6" t="n">
        <v>0</v>
      </c>
      <c r="E17" s="9">
        <f>IF(C17=0,"-",D17/C17)</f>
        <v/>
      </c>
      <c r="F17" s="15">
        <f>C17-D17</f>
        <v/>
      </c>
      <c r="G17" s="6" t="n">
        <v>0</v>
      </c>
      <c r="H17" s="15">
        <f>G17-C17</f>
        <v/>
      </c>
    </row>
    <row r="18">
      <c r="A18" s="7" t="inlineStr">
        <is>
          <t>Logistics</t>
        </is>
      </c>
      <c r="B18" s="7" t="inlineStr">
        <is>
          <t>Delivery (Abuja)</t>
        </is>
      </c>
      <c r="C18" s="10" t="n">
        <v>0</v>
      </c>
      <c r="D18" s="10" t="n">
        <v>0</v>
      </c>
      <c r="E18" s="11">
        <f>IF(C18=0,"-",D18/C18)</f>
        <v/>
      </c>
      <c r="F18" s="16">
        <f>C18-D18</f>
        <v/>
      </c>
      <c r="G18" s="10" t="n">
        <v>0</v>
      </c>
      <c r="H18" s="16">
        <f>G18-C18</f>
        <v/>
      </c>
    </row>
    <row r="19">
      <c r="A19" s="6" t="inlineStr">
        <is>
          <t>Logistics</t>
        </is>
      </c>
      <c r="B19" s="6" t="inlineStr">
        <is>
          <t>Delivery (PH)</t>
        </is>
      </c>
      <c r="C19" s="6" t="n">
        <v>0</v>
      </c>
      <c r="D19" s="6" t="n">
        <v>0</v>
      </c>
      <c r="E19" s="9">
        <f>IF(C19=0,"-",D19/C19)</f>
        <v/>
      </c>
      <c r="F19" s="15">
        <f>C19-D19</f>
        <v/>
      </c>
      <c r="G19" s="6" t="n">
        <v>0</v>
      </c>
      <c r="H19" s="15">
        <f>G19-C19</f>
        <v/>
      </c>
    </row>
    <row r="20">
      <c r="A20" s="7" t="inlineStr">
        <is>
          <t>Operations</t>
        </is>
      </c>
      <c r="B20" s="7" t="inlineStr">
        <is>
          <t>Staff/Contractors</t>
        </is>
      </c>
      <c r="C20" s="10" t="n">
        <v>0</v>
      </c>
      <c r="D20" s="10" t="n">
        <v>0</v>
      </c>
      <c r="E20" s="11">
        <f>IF(C20=0,"-",D20/C20)</f>
        <v/>
      </c>
      <c r="F20" s="16">
        <f>C20-D20</f>
        <v/>
      </c>
      <c r="G20" s="10" t="n">
        <v>0</v>
      </c>
      <c r="H20" s="16">
        <f>G20-C20</f>
        <v/>
      </c>
    </row>
    <row r="21">
      <c r="A21" s="6" t="inlineStr">
        <is>
          <t>Operations</t>
        </is>
      </c>
      <c r="B21" s="6" t="inlineStr">
        <is>
          <t>Tools/Software</t>
        </is>
      </c>
      <c r="C21" s="6" t="n">
        <v>0</v>
      </c>
      <c r="D21" s="6" t="n">
        <v>0</v>
      </c>
      <c r="E21" s="9">
        <f>IF(C21=0,"-",D21/C21)</f>
        <v/>
      </c>
      <c r="F21" s="15">
        <f>C21-D21</f>
        <v/>
      </c>
      <c r="G21" s="6" t="n">
        <v>0</v>
      </c>
      <c r="H21" s="15">
        <f>G21-C21</f>
        <v/>
      </c>
    </row>
    <row r="22">
      <c r="A22" s="7" t="inlineStr">
        <is>
          <t>PR &amp; Events</t>
        </is>
      </c>
      <c r="B22" s="7" t="inlineStr">
        <is>
          <t>Launch Event</t>
        </is>
      </c>
      <c r="C22" s="10" t="n">
        <v>0</v>
      </c>
      <c r="D22" s="10" t="n">
        <v>0</v>
      </c>
      <c r="E22" s="11">
        <f>IF(C22=0,"-",D22/C22)</f>
        <v/>
      </c>
      <c r="F22" s="16">
        <f>C22-D22</f>
        <v/>
      </c>
      <c r="G22" s="10" t="n">
        <v>0</v>
      </c>
      <c r="H22" s="16">
        <f>G22-C22</f>
        <v/>
      </c>
    </row>
    <row r="23">
      <c r="A23" s="6" t="inlineStr">
        <is>
          <t>PR &amp; Events</t>
        </is>
      </c>
      <c r="B23" s="6" t="inlineStr">
        <is>
          <t>Campus Activations</t>
        </is>
      </c>
      <c r="C23" s="6" t="n">
        <v>0</v>
      </c>
      <c r="D23" s="6" t="n">
        <v>0</v>
      </c>
      <c r="E23" s="9">
        <f>IF(C23=0,"-",D23/C23)</f>
        <v/>
      </c>
      <c r="F23" s="15">
        <f>C23-D23</f>
        <v/>
      </c>
      <c r="G23" s="6" t="n">
        <v>0</v>
      </c>
      <c r="H23" s="15">
        <f>G23-C23</f>
        <v/>
      </c>
    </row>
    <row r="24">
      <c r="A24" s="13" t="inlineStr">
        <is>
          <t>TOTAL</t>
        </is>
      </c>
      <c r="B24" s="13" t="n"/>
      <c r="C24" s="13">
        <f>SUM(C5:C23)</f>
        <v/>
      </c>
      <c r="D24" s="13">
        <f>SUM(D5:D23)</f>
        <v/>
      </c>
      <c r="E24" s="14">
        <f>IF(C24=0,"-",D24/C24)</f>
        <v/>
      </c>
      <c r="F24" s="17">
        <f>C24-D24</f>
        <v/>
      </c>
      <c r="G24" s="13" t="n"/>
      <c r="H24" s="17">
        <f>SUM(H5:H23)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2026-08-25T07:47:59Z</dcterms:created>
  <dcterms:modified xmlns:dcterms="http://purl.org/dc/terms/" xmlns:xsi="http://www.w3.org/2001/XMLSchema-instance" xsi:type="dcterms:W3CDTF">2026-08-25T07:47:59Z</dcterms:modified>
</cp:coreProperties>
</file>